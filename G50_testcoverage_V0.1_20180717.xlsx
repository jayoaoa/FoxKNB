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yunDeWu\Desktop\"/>
    </mc:Choice>
  </mc:AlternateContent>
  <bookViews>
    <workbookView xWindow="0" yWindow="0" windowWidth="20490" windowHeight="7290" firstSheet="5" activeTab="8"/>
  </bookViews>
  <sheets>
    <sheet name="FT_TestCoverageMatrix_UBB" sheetId="1" r:id="rId1"/>
    <sheet name="TestCoverage%_UBB" sheetId="2" r:id="rId2"/>
    <sheet name="FT_TestCoverageMatrix_PDB" sheetId="3" r:id="rId3"/>
    <sheet name="TestCoverage%_PDB" sheetId="4" r:id="rId4"/>
    <sheet name="FT_TestCoverageMatrix_FIO" sheetId="5" r:id="rId5"/>
    <sheet name="TestCoverage%_FIO" sheetId="6" r:id="rId6"/>
    <sheet name="FT_TestCoverageMatrix_CM" sheetId="7" r:id="rId7"/>
    <sheet name="TestCoverage%_CM" sheetId="8" r:id="rId8"/>
    <sheet name="FT_TestCoverageMatrix_GOB" sheetId="9" r:id="rId9"/>
    <sheet name="TestCoverage%_GOB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0" l="1"/>
  <c r="B12" i="10"/>
  <c r="B13" i="10"/>
  <c r="B14" i="10"/>
  <c r="B15" i="10"/>
  <c r="B16" i="10"/>
  <c r="B17" i="10"/>
  <c r="B18" i="10"/>
  <c r="B19" i="10"/>
  <c r="C2" i="8" l="1"/>
  <c r="C2" i="10"/>
  <c r="B5" i="10"/>
  <c r="B6" i="10"/>
  <c r="B7" i="10"/>
  <c r="B8" i="10"/>
  <c r="B9" i="10"/>
  <c r="B10" i="10"/>
  <c r="B4" i="10"/>
  <c r="K9" i="9"/>
  <c r="K8" i="9"/>
  <c r="B5" i="8"/>
  <c r="B6" i="8"/>
  <c r="B7" i="8"/>
  <c r="B8" i="8"/>
  <c r="B9" i="8"/>
  <c r="B10" i="8"/>
  <c r="B11" i="8"/>
  <c r="B12" i="8"/>
  <c r="B13" i="8"/>
  <c r="B14" i="8"/>
  <c r="B15" i="8"/>
  <c r="B4" i="8"/>
  <c r="B5" i="6"/>
  <c r="B6" i="6"/>
  <c r="B7" i="6"/>
  <c r="B8" i="6"/>
  <c r="B9" i="6"/>
  <c r="B10" i="6"/>
  <c r="B11" i="6"/>
  <c r="B4" i="6"/>
  <c r="C2" i="6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" i="2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4" i="4"/>
  <c r="C2" i="4"/>
  <c r="C2" i="2"/>
</calcChain>
</file>

<file path=xl/sharedStrings.xml><?xml version="1.0" encoding="utf-8"?>
<sst xmlns="http://schemas.openxmlformats.org/spreadsheetml/2006/main" count="1200" uniqueCount="452">
  <si>
    <t>FCT Test Coverage Matrix</t>
  </si>
  <si>
    <t>Project Name:</t>
  </si>
  <si>
    <t>Integration Level:</t>
  </si>
  <si>
    <t>Component/Interface</t>
  </si>
  <si>
    <t>Test Method</t>
  </si>
  <si>
    <t>OS</t>
  </si>
  <si>
    <t>Diagnostics/binary/Utility name</t>
  </si>
  <si>
    <t>Developer or Company Name</t>
    <phoneticPr fontId="2" type="noConversion"/>
  </si>
  <si>
    <t>Command Line/Scripts</t>
  </si>
  <si>
    <t>Test Hardware Required</t>
    <phoneticPr fontId="2" type="noConversion"/>
  </si>
  <si>
    <t>Functionality Description</t>
    <phoneticPr fontId="2" type="noConversion"/>
  </si>
  <si>
    <t>Supporting Documents(SW Releases, help files, revision history etc.)</t>
    <phoneticPr fontId="2" type="noConversion"/>
  </si>
  <si>
    <t>G50-UBB</t>
    <phoneticPr fontId="1" type="noConversion"/>
  </si>
  <si>
    <t>PCA9548</t>
  </si>
  <si>
    <t>Direct</t>
  </si>
  <si>
    <t>BMC_console</t>
  </si>
  <si>
    <t>i2cset/i2cget</t>
  </si>
  <si>
    <t>TMP175</t>
  </si>
  <si>
    <t>test_i2c.py
TMP75()
i2cget -y -f 21 0x37 0x0</t>
  </si>
  <si>
    <t>TMP75</t>
  </si>
  <si>
    <t>test_i2c.py
TMP75()
i2cget -y -f 21 0x49 0x0</t>
  </si>
  <si>
    <t>test_i2c.py
TMP75()
i2cget -y -f 21 0x4a 0x0</t>
  </si>
  <si>
    <t>test_i2c.py
TMP75()
i2cget -y -f 21 0x4b 0x0</t>
  </si>
  <si>
    <t>test_i2c.py
TMP75()
i2cget -y -f 21 0x4c 0x0</t>
  </si>
  <si>
    <t>test_i2c.py
TMP75()
i2cget -y -f 21 0x4d 0x0</t>
  </si>
  <si>
    <t>test_i2c.py
TMP75()
i2cget -y -f 21 0x4e 0x0</t>
  </si>
  <si>
    <t>test_i2c.py
TMP75()
i2cget -y -f 21 0x4f 0x0</t>
  </si>
  <si>
    <t>PCAL9538(U40)</t>
  </si>
  <si>
    <t>test_i2c.py
i2cget -y -f 20 0x71 0</t>
  </si>
  <si>
    <t>PCAL9539 (U39)</t>
  </si>
  <si>
    <t>test_i2c.py
i2cget -y -f 22 0x74 0</t>
  </si>
  <si>
    <t>PCAL9539 (U41)</t>
  </si>
  <si>
    <t>test_i2c.py
i2cget -y -f 22 0x77 0</t>
  </si>
  <si>
    <t>PCA9546</t>
  </si>
  <si>
    <t>test_i2c.py
i2cget -y -f 2 0x75 0x0</t>
  </si>
  <si>
    <t>AT24C32</t>
  </si>
  <si>
    <t>PCAL9539 (U97)</t>
  </si>
  <si>
    <t>test_i2c.py
Check_SDA_i2c_path()
i2cdetect -y 0</t>
  </si>
  <si>
    <t>PCAL9539</t>
  </si>
  <si>
    <t>Mezzaine Test Fixture 0 (GPU0 Socket)</t>
  </si>
  <si>
    <t>C2010_ubuntu_16.04</t>
  </si>
  <si>
    <t>PLX Vendor Tool</t>
  </si>
  <si>
    <t>Mezzaine Test Fixture 1 (GPU1 Socket)</t>
  </si>
  <si>
    <t>Mezzaine Test Fixture 2 (GPU2 Socket)</t>
  </si>
  <si>
    <t>Mezzaine Test Fixture 3 (GPU3 Socket)</t>
  </si>
  <si>
    <t>Mezzaine Test Fixture 4 (GPU4 Socket)</t>
  </si>
  <si>
    <t>Mezzaine Test Fixture 5 (GPU5 Socket)</t>
  </si>
  <si>
    <t>Mezzaine Test Fixture 6 (GPU6 Socket)</t>
  </si>
  <si>
    <t>Mezzaine Test Fixture 7 (GPU7 Socket)</t>
  </si>
  <si>
    <t>PLX9797-0</t>
  </si>
  <si>
    <t>PLX9797-1</t>
  </si>
  <si>
    <t>PLX9797-2</t>
  </si>
  <si>
    <t>PLX9797-3</t>
  </si>
  <si>
    <t>PCIe Slot-1</t>
  </si>
  <si>
    <t>Covered by PLX9797-1</t>
  </si>
  <si>
    <t>PCIe Slot-2</t>
  </si>
  <si>
    <t>Covered by PLX9797-0</t>
  </si>
  <si>
    <t>PCIe Slot-3</t>
  </si>
  <si>
    <t>Covered by PLX9797-2</t>
  </si>
  <si>
    <t>PCIe Slot-4</t>
  </si>
  <si>
    <t>Covered by PLX9797-3</t>
  </si>
  <si>
    <t>SW1</t>
  </si>
  <si>
    <t>SW2</t>
  </si>
  <si>
    <t>SW3</t>
  </si>
  <si>
    <t>SW4</t>
  </si>
  <si>
    <t>UBB FRU flash</t>
  </si>
  <si>
    <t>Test Coverage % Calculation</t>
  </si>
  <si>
    <t>Overal Test Coverage %</t>
  </si>
  <si>
    <t>Item#</t>
  </si>
  <si>
    <t>Test Spec Requirement Item</t>
  </si>
  <si>
    <t>Implementation (y/n)</t>
  </si>
  <si>
    <t>loc</t>
    <phoneticPr fontId="2" type="noConversion"/>
  </si>
  <si>
    <t>Test Time
(Second)</t>
    <phoneticPr fontId="2" type="noConversion"/>
  </si>
  <si>
    <t>Feedback - MSFT</t>
    <phoneticPr fontId="2" type="noConversion"/>
  </si>
  <si>
    <t>Feedback - Ingrasys</t>
    <phoneticPr fontId="2" type="noConversion"/>
  </si>
  <si>
    <t>BMC_SMB_3/0xEC</t>
  </si>
  <si>
    <t>BMC_SMB_3/0xEC_I2C5/0x6E</t>
  </si>
  <si>
    <t>BMC_SMB_3/0xEC_I2C5/0x92</t>
  </si>
  <si>
    <t>BMC_SMB_3/0xEC_I2C5/0x94</t>
  </si>
  <si>
    <t>BMC_SMB_3/0xEC_I2C5/0x96</t>
  </si>
  <si>
    <t>BMC_SMB_3/0xEC_I2C5/0x98</t>
  </si>
  <si>
    <t>BMC_SMB_3/0xEC_I2C5/0x9A</t>
  </si>
  <si>
    <t>BMC_SMB_3/0xEC_I2C5/0x9C</t>
  </si>
  <si>
    <t>BMC_SMB_3/0xEC_I2C5/0x9E</t>
  </si>
  <si>
    <t>BMC_SMB_3/0xEC_I2C4/0xE2</t>
  </si>
  <si>
    <t>BMC_SMB_3/0xEC_I2C6/0xE8</t>
  </si>
  <si>
    <t>BMC_SMB_3/0xEC_I2C6/0xEE</t>
  </si>
  <si>
    <t>BMC_SMB_3/0xEA</t>
  </si>
  <si>
    <t>BMC_SMB_4/0xA0</t>
  </si>
  <si>
    <t>BMC_SMB_4/0xEA</t>
  </si>
  <si>
    <t>BMC_SMB_4/0xE0</t>
  </si>
  <si>
    <t>y</t>
    <phoneticPr fontId="1" type="noConversion"/>
  </si>
  <si>
    <t>G50-PDB</t>
    <phoneticPr fontId="1" type="noConversion"/>
  </si>
  <si>
    <t>LM25066(10h)</t>
  </si>
  <si>
    <t>LM25066(11h)</t>
  </si>
  <si>
    <t>LM25066(40h)</t>
  </si>
  <si>
    <t>LM25066(41h)</t>
  </si>
  <si>
    <t>LM25066(42h)</t>
  </si>
  <si>
    <t>LM25066(43h)</t>
  </si>
  <si>
    <t>LM25066(44h)</t>
  </si>
  <si>
    <t>LM25066(45h)</t>
  </si>
  <si>
    <t>LM25066(46h)</t>
  </si>
  <si>
    <t>LM25066(47h)</t>
  </si>
  <si>
    <t>PCA9539</t>
  </si>
  <si>
    <t>PDB FRU Flash</t>
  </si>
  <si>
    <t>PCA9539 GPIO to LM25066</t>
  </si>
  <si>
    <t>PSU_Power_Good</t>
  </si>
  <si>
    <t>devmem</t>
  </si>
  <si>
    <t>test_i2c.py
LM20566()
/usr/sbin/i2cget -y -f 0 16 1</t>
  </si>
  <si>
    <t>test_i2c.py
LM20566()
/usr/sbin/i2cget -y -f 0 17 1</t>
  </si>
  <si>
    <t>test_i2c.py
LM20566()
/usr/sbin/i2cget -y -f 0 64 1</t>
  </si>
  <si>
    <t>test_i2c.py
LM20566()
/usr/sbin/i2cget -y -f 0 65 1</t>
  </si>
  <si>
    <t>test_i2c.py
LM20566()
/usr/sbin/i2cget -y -f 0 66 1</t>
  </si>
  <si>
    <t>test_i2c.py
LM20566()
/usr/sbin/i2cget -y -f 0 67 1</t>
  </si>
  <si>
    <t>test_i2c.py
LM20566()
/usr/sbin/i2cget -y -f 0 68 1</t>
  </si>
  <si>
    <t>test_i2c.py
LM20566()
/usr/sbin/i2cget -y -f 0 69 1</t>
  </si>
  <si>
    <t>test_i2c.py
LM20566()
/usr/sbin/i2cget -y -f 0 70 1</t>
  </si>
  <si>
    <t xml:space="preserve">BMC_TACH_1 </t>
  </si>
  <si>
    <t>BMC_TACH_2</t>
  </si>
  <si>
    <t>BMC_TACH_3</t>
  </si>
  <si>
    <t>BMC_TACH_4</t>
  </si>
  <si>
    <t>BMC_TACH_5</t>
  </si>
  <si>
    <t>BMC_TACH_6</t>
  </si>
  <si>
    <t>BMC_TACH_7</t>
  </si>
  <si>
    <t>BMC_TACH_8</t>
  </si>
  <si>
    <t>BMC_TACH_9</t>
  </si>
  <si>
    <t>BMC_TACH_10</t>
  </si>
  <si>
    <t>BMC_TACH_11</t>
  </si>
  <si>
    <t>BMC_TACH_12</t>
  </si>
  <si>
    <t>BMC_SMB_1/0x10</t>
  </si>
  <si>
    <t>BMC_SMB_1/0x11</t>
  </si>
  <si>
    <t>BMC_SMB_1/0x40</t>
  </si>
  <si>
    <t>BMC_SMB_1/0x41</t>
  </si>
  <si>
    <t>BMC_SMB_1/0x42</t>
  </si>
  <si>
    <t>BMC_SMB_1/0x43</t>
  </si>
  <si>
    <t>BMC_SMB_1/0x44</t>
  </si>
  <si>
    <t>BMC_SMB_1/0x45</t>
  </si>
  <si>
    <t>BMC_SMB_1/0x46</t>
  </si>
  <si>
    <t>BMC_SMB_1/0x47</t>
  </si>
  <si>
    <t>BMC_SMB_1/0xA0</t>
  </si>
  <si>
    <t>BMC_SMB_2/0xE8</t>
  </si>
  <si>
    <t>BMC_SMB_2/0xE0</t>
  </si>
  <si>
    <t>Fan test 1</t>
    <phoneticPr fontId="1" type="noConversion"/>
  </si>
  <si>
    <t>Fan test 2</t>
    <phoneticPr fontId="1" type="noConversion"/>
  </si>
  <si>
    <t>Fan test 3</t>
  </si>
  <si>
    <t>Fan test 4</t>
  </si>
  <si>
    <t>Fan test 5</t>
  </si>
  <si>
    <t>Fan test 6</t>
  </si>
  <si>
    <t>Fan test 7</t>
  </si>
  <si>
    <t>Fan test 8</t>
  </si>
  <si>
    <t>Fan test 9</t>
  </si>
  <si>
    <t>Fan test 10</t>
  </si>
  <si>
    <t>Fan test 11</t>
  </si>
  <si>
    <t>Fan test 12</t>
  </si>
  <si>
    <t>y</t>
    <phoneticPr fontId="1" type="noConversion"/>
  </si>
  <si>
    <t>FIO_RM_Throttle</t>
  </si>
  <si>
    <t>FIO_RM_Off</t>
  </si>
  <si>
    <t>RJ45 Lan port</t>
  </si>
  <si>
    <t>UID LED</t>
  </si>
  <si>
    <t>Blade_att_led</t>
  </si>
  <si>
    <t>FIO_TMP75</t>
  </si>
  <si>
    <t>PWR LED</t>
  </si>
  <si>
    <t>G50-FIO</t>
    <phoneticPr fontId="1" type="noConversion"/>
  </si>
  <si>
    <t>BMC_SMB_1/0x92</t>
  </si>
  <si>
    <t>BMC_SMB_1/0x94</t>
  </si>
  <si>
    <t>TFB_cmd</t>
  </si>
  <si>
    <t>TFB command</t>
  </si>
  <si>
    <t>ping</t>
  </si>
  <si>
    <t>test_throttle.py
fio_rm_throttle()
Set low: 0x53, 0x48, 0x03, 0x02, 0x00, 0x00,0x50
Set high: 0x53, 0x48, 0x03, 0x02, 0xff, 0xfd,0x50</t>
  </si>
  <si>
    <t>fio_main.py
RM_PowerON()
Set TFB PCA9535 Port0/1 as output: 0x53 ,0x48 ,0x03 ,0x06 ,0x00 ,0x00 ,0x50
RM Power-Up: 0x53, 0x48, 0x03, 0x02, 0x00, 0x00,0x50</t>
  </si>
  <si>
    <t>test_led.py
blade_att_led()
kill -9 bmchealth_handle
Set GPIO: ((int(direction_ori,16) &amp; 0x00000100) &gt;&gt; 8)
"devmem 0x%x 32 0x%x\n"%(GPIO_GP2_Direction,(int(direction_ori,16)|0x00000100))
ON: "devmem 0x%x 32 0x%x\n"%(GPIO_GP2_Value,int(value_ori,16) &amp; 0xfffffeff)
OFF: "devmem 0x%x 32 0x%x\n"%(GPIO_GP2_Value,int(value_ori,16) | 0x00000100)</t>
  </si>
  <si>
    <t>TFB, CM, PDB, PIB</t>
  </si>
  <si>
    <t>CM, PDB, PIB</t>
  </si>
  <si>
    <t>G50-CM</t>
    <phoneticPr fontId="1" type="noConversion"/>
  </si>
  <si>
    <t>CM_TMP75</t>
  </si>
  <si>
    <t>AT24C256C</t>
  </si>
  <si>
    <t>CM FRU Flash</t>
  </si>
  <si>
    <t>CM RM_Throttle</t>
  </si>
  <si>
    <t>CM RM_Off</t>
  </si>
  <si>
    <t>Mac address flash</t>
  </si>
  <si>
    <t>Mac address check</t>
  </si>
  <si>
    <t>BMC FW version check</t>
  </si>
  <si>
    <t>Test Items of UBB (BMC_console) * test items : 36</t>
  </si>
  <si>
    <t>Test Items of PDB * test items : 26</t>
  </si>
  <si>
    <t>Test Items of FIO * test items : 5</t>
  </si>
  <si>
    <t>CPLD M5240ZT100</t>
  </si>
  <si>
    <t>Indirect</t>
  </si>
  <si>
    <t>TFB_command</t>
  </si>
  <si>
    <t>guid_mac.py</t>
  </si>
  <si>
    <t>cat</t>
  </si>
  <si>
    <t>Not contain FIO RM</t>
  </si>
  <si>
    <t>Not contain PDB FRU</t>
  </si>
  <si>
    <t>Not contain FIO_RM</t>
  </si>
  <si>
    <t>BMC power on means CPLD is functional</t>
  </si>
  <si>
    <t xml:space="preserve">test_i2c.py
</t>
  </si>
  <si>
    <t>cm_main.py
RM_PowerON()
Set TFB PCA9535 Port0/1 as output: 0x53 ,0x48 ,0x03 ,0x06 ,0x00 ,0x00 ,0x50
RM Power-Up: 0x53, 0x48, 0x03, 0x02, 0x00, 0x00,0x50</t>
  </si>
  <si>
    <t>test_i2c.py</t>
  </si>
  <si>
    <t>test_i2c.py
test_fanduty.py</t>
  </si>
  <si>
    <t>test_i2c.py
test_lan.py
test_led.py</t>
  </si>
  <si>
    <t>BMC_SMB_1/0x96</t>
  </si>
  <si>
    <t>BMC_SMB_5/0xA0</t>
  </si>
  <si>
    <t>Implementation (y/n)</t>
    <phoneticPr fontId="1" type="noConversion"/>
  </si>
  <si>
    <t>PSU Power Good</t>
  </si>
  <si>
    <t>DCGM NVVS</t>
  </si>
  <si>
    <t>NV Qual: PCIE Qualification test (Canceled, replaced by NVVS)</t>
  </si>
  <si>
    <t>NV Qual: NVLink Qualification test (Canceled, replaced by NVVS)</t>
  </si>
  <si>
    <t>Nvidia List</t>
  </si>
  <si>
    <t>PLX9797 bandwidth &amp; linkspeed</t>
  </si>
  <si>
    <t>Test Items of CM</t>
  </si>
  <si>
    <t>L10 FRU Flash</t>
  </si>
  <si>
    <t>Windows</t>
  </si>
  <si>
    <t>nvvs</t>
  </si>
  <si>
    <t>nvqual</t>
  </si>
  <si>
    <t>lspci</t>
  </si>
  <si>
    <t>Not contain CM_RM</t>
  </si>
  <si>
    <t>g50_main.py</t>
  </si>
  <si>
    <t>g50_main.py
./nvqual --test 2 --index 0;  ./nvqual --test 2 --index 1;  ./nvqual --test 2 --index 2;  ./nvqual --test 2 --index 3;  ./nvqual --test 2 --index 4;  ./nvqual --test 2 --index 5;  ./nvqual --test 2 --index 6;  ./nvqual --test 2 --index 7;</t>
  </si>
  <si>
    <t>g50_main.py
./nvqual --test 8 --index 0;</t>
  </si>
  <si>
    <t>g50_main.py
lspci | grep -i nvidia</t>
  </si>
  <si>
    <t>g50_main.py
lspci -s $busid | grep Sta</t>
  </si>
  <si>
    <t>g50_main.py
check_storey()
lspci to check link speed and bandwidth</t>
  </si>
  <si>
    <t>test_i2c.py
test_fanduty.py
test_lan.py
test_led.py</t>
  </si>
  <si>
    <t>Storey Peak Card - Config Check</t>
    <phoneticPr fontId="1" type="noConversion"/>
  </si>
  <si>
    <t>Storey Peak Card - Self Test</t>
    <phoneticPr fontId="1" type="noConversion"/>
  </si>
  <si>
    <t>Ingrasys BMC</t>
    <phoneticPr fontId="2" type="noConversion"/>
  </si>
  <si>
    <t>PLX Technology</t>
    <phoneticPr fontId="2" type="noConversion"/>
  </si>
  <si>
    <t>Ingrasys BMC</t>
    <phoneticPr fontId="1" type="noConversion"/>
  </si>
  <si>
    <t>TFB command</t>
    <phoneticPr fontId="1" type="noConversion"/>
  </si>
  <si>
    <t>NXP Semiconductors</t>
    <phoneticPr fontId="1" type="noConversion"/>
  </si>
  <si>
    <t>Ingrasys BMC</t>
    <phoneticPr fontId="1" type="noConversion"/>
  </si>
  <si>
    <t>Ingrasys BMC</t>
    <phoneticPr fontId="1" type="noConversion"/>
  </si>
  <si>
    <t>Nvidia</t>
    <phoneticPr fontId="1" type="noConversion"/>
  </si>
  <si>
    <t>Ubuntu</t>
    <phoneticPr fontId="1" type="noConversion"/>
  </si>
  <si>
    <t>Open Source</t>
    <phoneticPr fontId="1" type="noConversion"/>
  </si>
  <si>
    <t>Mellanox Technoloies</t>
    <phoneticPr fontId="1" type="noConversion"/>
  </si>
  <si>
    <t>Microsoft</t>
    <phoneticPr fontId="1" type="noConversion"/>
  </si>
  <si>
    <t>Ubuntu</t>
    <phoneticPr fontId="1" type="noConversion"/>
  </si>
  <si>
    <t>Verify I2C MUX by BMC</t>
    <phoneticPr fontId="2" type="noConversion"/>
  </si>
  <si>
    <t>Verify I2C TMP sensor by BMC</t>
  </si>
  <si>
    <t>Verify I2C TMP sensor by BMC</t>
    <phoneticPr fontId="2" type="noConversion"/>
  </si>
  <si>
    <t>Verify I2C device by BMC</t>
    <phoneticPr fontId="2" type="noConversion"/>
  </si>
  <si>
    <t>Verify I2C FRU eeprom by BMC</t>
    <phoneticPr fontId="2" type="noConversion"/>
  </si>
  <si>
    <t>ubb_main.py
check_MezzTF()
./Plx_load Svc d
./9797.sh enable $busid
./9797.sh list $busid
./9797.sh disable $busid
check any fail msg</t>
    <phoneticPr fontId="2" type="noConversion"/>
  </si>
  <si>
    <t>ubb_main.py
check_MezzTF()
./Plx_load Svc d
./8764.sh
check any fail msg</t>
    <phoneticPr fontId="2" type="noConversion"/>
  </si>
  <si>
    <t>Verify Mezzaine Test Fixture(PEX8764) one by one and port by port by PLX SDK.</t>
    <phoneticPr fontId="2" type="noConversion"/>
  </si>
  <si>
    <t>Verify PEX9797 one by one and port by port by PLX SDK.</t>
    <phoneticPr fontId="2" type="noConversion"/>
  </si>
  <si>
    <t>ocs-fru -c -s 50 -w file.txt</t>
    <phoneticPr fontId="2" type="noConversion"/>
  </si>
  <si>
    <t>ocs-fru -c 4 -s 50 -w file.txt</t>
    <phoneticPr fontId="2" type="noConversion"/>
  </si>
  <si>
    <t>ocs-fru -c -s 50 -w file.txt</t>
    <phoneticPr fontId="1" type="noConversion"/>
  </si>
  <si>
    <t>PDB, CM, PIB</t>
    <phoneticPr fontId="2" type="noConversion"/>
  </si>
  <si>
    <t>PDB, CM, PIB, MezzTF</t>
    <phoneticPr fontId="2" type="noConversion"/>
  </si>
  <si>
    <t>WCS-Software-BMC-G50_v081</t>
  </si>
  <si>
    <t>WCS-Software-BMC-G50_v081</t>
    <phoneticPr fontId="2" type="noConversion"/>
  </si>
  <si>
    <t>PlxSdkUserManual</t>
  </si>
  <si>
    <t>CM, PIB</t>
    <phoneticPr fontId="1" type="noConversion"/>
  </si>
  <si>
    <t>Change fan duty to 50% 80% 100%, and check each duty correct</t>
    <phoneticPr fontId="2" type="noConversion"/>
  </si>
  <si>
    <t>Verify I2C Hot Swap by BMC</t>
  </si>
  <si>
    <t>Verify I2C Hot Swap by BMC</t>
    <phoneticPr fontId="2" type="noConversion"/>
  </si>
  <si>
    <t>Verify I2C device by BMC</t>
    <phoneticPr fontId="1" type="noConversion"/>
  </si>
  <si>
    <t>Write FRU information by BMC command</t>
    <phoneticPr fontId="2" type="noConversion"/>
  </si>
  <si>
    <t>Send RM command by TFB</t>
    <phoneticPr fontId="1" type="noConversion"/>
  </si>
  <si>
    <t>None</t>
    <phoneticPr fontId="1" type="noConversion"/>
  </si>
  <si>
    <t>None</t>
    <phoneticPr fontId="1" type="noConversion"/>
  </si>
  <si>
    <t>Ping another system</t>
    <phoneticPr fontId="1" type="noConversion"/>
  </si>
  <si>
    <t>Random bright LED 1 to 3 times, and ask how many times?</t>
    <phoneticPr fontId="2" type="noConversion"/>
  </si>
  <si>
    <t>Verify I2C thermal sensor by BMC</t>
    <phoneticPr fontId="2" type="noConversion"/>
  </si>
  <si>
    <t>PDB, PIB, UBB, FIO</t>
    <phoneticPr fontId="1" type="noConversion"/>
  </si>
  <si>
    <t>Verify I2C device by BMC</t>
    <phoneticPr fontId="2" type="noConversion"/>
  </si>
  <si>
    <t>Write MAC address by BMC command</t>
    <phoneticPr fontId="2" type="noConversion"/>
  </si>
  <si>
    <t>Check MAC address by BMC command</t>
    <phoneticPr fontId="1" type="noConversion"/>
  </si>
  <si>
    <t>Write FRU information by BMC command</t>
    <phoneticPr fontId="1" type="noConversion"/>
  </si>
  <si>
    <t>Check CM BMC FW version in BMC console</t>
    <phoneticPr fontId="1" type="noConversion"/>
  </si>
  <si>
    <t>Run again test items of UBB</t>
    <phoneticPr fontId="1" type="noConversion"/>
  </si>
  <si>
    <t>Run again test items of PDB</t>
    <phoneticPr fontId="1" type="noConversion"/>
  </si>
  <si>
    <t>Run again test items of FIO</t>
    <phoneticPr fontId="1" type="noConversion"/>
  </si>
  <si>
    <t>Run again test items of CM</t>
    <phoneticPr fontId="1" type="noConversion"/>
  </si>
  <si>
    <t>Run again test items of UBB</t>
    <phoneticPr fontId="1" type="noConversion"/>
  </si>
  <si>
    <t>Run again test items of PDB</t>
    <phoneticPr fontId="1" type="noConversion"/>
  </si>
  <si>
    <t>NVVS For Production Testing v03</t>
    <phoneticPr fontId="1" type="noConversion"/>
  </si>
  <si>
    <t>NVidia Validation Suite for MFG Test, which contains HW diagnostic and stress test</t>
    <phoneticPr fontId="1" type="noConversion"/>
  </si>
  <si>
    <t>Check Nvidia GPU is 8 and correct type</t>
    <phoneticPr fontId="1" type="noConversion"/>
  </si>
  <si>
    <t>None</t>
    <phoneticPr fontId="1" type="noConversion"/>
  </si>
  <si>
    <t>None</t>
    <phoneticPr fontId="1" type="noConversion"/>
  </si>
  <si>
    <t>Check PEX9797 by lspci, and linkspeed should be 8G/s and bandwidth should be x16</t>
    <phoneticPr fontId="1" type="noConversion"/>
  </si>
  <si>
    <t>None</t>
    <phoneticPr fontId="1" type="noConversion"/>
  </si>
  <si>
    <t>Check device bus id and type by lspci</t>
    <phoneticPr fontId="1" type="noConversion"/>
  </si>
  <si>
    <t>None</t>
    <phoneticPr fontId="1" type="noConversion"/>
  </si>
  <si>
    <t>Check PSU status by BMC command</t>
    <phoneticPr fontId="1" type="noConversion"/>
  </si>
  <si>
    <t>C2010, Sliver cables</t>
    <phoneticPr fontId="1" type="noConversion"/>
  </si>
  <si>
    <t>C2010, Sliver cables, Another C2010 with mellanox card, QSFP cable</t>
    <phoneticPr fontId="1" type="noConversion"/>
  </si>
  <si>
    <t>Ingrasys BMC v3.05</t>
    <phoneticPr fontId="1" type="noConversion"/>
  </si>
  <si>
    <t>Ingrasys BMC v3.05</t>
    <phoneticPr fontId="2" type="noConversion"/>
  </si>
  <si>
    <t>L10</t>
    <phoneticPr fontId="1" type="noConversion"/>
  </si>
  <si>
    <t>G50-GOB</t>
    <phoneticPr fontId="1" type="noConversion"/>
  </si>
  <si>
    <t>AVA Card</t>
    <phoneticPr fontId="1" type="noConversion"/>
  </si>
  <si>
    <t>Mellanox Card</t>
    <phoneticPr fontId="1" type="noConversion"/>
  </si>
  <si>
    <t>Storey Peak Card - FW update</t>
    <phoneticPr fontId="1" type="noConversion"/>
  </si>
  <si>
    <t>test_fanduty.py
1. Kill BMC Fan Algorithm: stopFanAutoControl()
get pid: ps | grep fan_algo
kill -9 $pid
2. Enable Fan Tach
devmem 0x1e786000 32 0x1ffe0f01
3. Change Fan duty to 49%
4. Waiting Fan Speed Steady, and Read Fan Speed
5. Change Fan duty to 100%
6. Waiting Fan Speed Steady, and Read Fan Speed</t>
    <phoneticPr fontId="1" type="noConversion"/>
  </si>
  <si>
    <t>g50_main.py
check_ava()
nvme list
fio --runtime=$STRESSTIME -rw=randread -name=${uutArray[$i]}n1 --output $LOGPATH/${uutArray[$i]:5}n1.log</t>
    <phoneticPr fontId="1" type="noConversion"/>
  </si>
  <si>
    <t>nvme
fio</t>
    <phoneticPr fontId="1" type="noConversion"/>
  </si>
  <si>
    <t>ethtool
netperf</t>
    <phoneticPr fontId="1" type="noConversion"/>
  </si>
  <si>
    <t xml:space="preserve">g50_main.py
check_mellanox()
ethtool -i eth*
netperf -H $ip0 -p 4444 -l $NETTIME </t>
    <phoneticPr fontId="1" type="noConversion"/>
  </si>
  <si>
    <t>run_G50.bat</t>
    <phoneticPr fontId="1" type="noConversion"/>
  </si>
  <si>
    <t>Contains 4 M.2. Run FIO for validation
Check M.2 firmware version</t>
    <phoneticPr fontId="1" type="noConversion"/>
  </si>
  <si>
    <t>Check Mellanox FW version
Netperf test per port</t>
    <phoneticPr fontId="1" type="noConversion"/>
  </si>
  <si>
    <t>Updating SP card firmware</t>
    <phoneticPr fontId="1" type="noConversion"/>
  </si>
  <si>
    <t>SP card self test</t>
    <phoneticPr fontId="1" type="noConversion"/>
  </si>
  <si>
    <t>Pikes_Peak_Self_Tester_v1.24.09_release</t>
  </si>
  <si>
    <t>Test Items of UBB (BMC_console)  * test items : 37</t>
    <phoneticPr fontId="1" type="noConversion"/>
  </si>
  <si>
    <t>Test Items of PDB * test items : 26</t>
    <phoneticPr fontId="1" type="noConversion"/>
  </si>
  <si>
    <t>Test Items of FIO * test items : 7</t>
    <phoneticPr fontId="1" type="noConversion"/>
  </si>
  <si>
    <t xml:space="preserve">L6 (PCBA) </t>
    <phoneticPr fontId="2" type="noConversion"/>
  </si>
  <si>
    <t>curl -b cjar -u admin:admin -X POST -d '{"Bus":"2", "SlaveAddress":"0x76", "ReadCount":"1", "WriteData":"0x0"'} -H "Content-Type: application/json" -k https://BMC_IP/redfish/v1/Managers/System/Actions/Manager.MasterWriteRead</t>
    <phoneticPr fontId="2" type="noConversion"/>
  </si>
  <si>
    <t>Redfish command</t>
    <phoneticPr fontId="2" type="noConversion"/>
  </si>
  <si>
    <t>curl -b cjar -u admin:admin -X POST -d '{"Bus":"21", "SlaveAddress":"0x37", "ReadCount":"1", "WriteData":"0x0"'} -H "Content-Type: application/json" -k https://BMC_IP/redfish/v1/Managers/System/Actions/Manager.MasterWriteRead</t>
    <phoneticPr fontId="2" type="noConversion"/>
  </si>
  <si>
    <t>curl -b cjar -u admin:admin -X POST -d '{"Bus":"21", "SlaveAddress":"0x49", "ReadCount":"1", "WriteData":"0x0"'} -H "Content-Type: application/json" -k https://BMC_IP/redfish/v1/Managers/System/Actions/Manager.MasterWriteRead</t>
    <phoneticPr fontId="2" type="noConversion"/>
  </si>
  <si>
    <t>curl -b cjar -u admin:admin -X POST -d '{"Bus":"21", "SlaveAddress":"0x4a", "ReadCount":"1", "WriteData":"0x0"'} -H "Content-Type: application/json" -k https://BMC_IP/redfish/v1/Managers/System/Actions/Manager.MasterWriteRead</t>
    <phoneticPr fontId="2" type="noConversion"/>
  </si>
  <si>
    <t>curl -b cjar -u admin:admin -X POST -d '{"Bus":"21", "SlaveAddress":"0x4b", "ReadCount":"1", "WriteData":"0x0"'} -H "Content-Type: application/json" -k https://BMC_IP/redfish/v1/Managers/System/Actions/Manager.MasterWriteRead</t>
    <phoneticPr fontId="2" type="noConversion"/>
  </si>
  <si>
    <t>curl -b cjar -u admin:admin -X POST -d '{"Bus":"21", "SlaveAddress":"0x4c", "ReadCount":"1", "WriteData":"0x0"'} -H "Content-Type: application/json" -k https://BMC_IP/redfish/v1/Managers/System/Actions/Manager.MasterWriteRead</t>
    <phoneticPr fontId="2" type="noConversion"/>
  </si>
  <si>
    <t>curl -b cjar -u admin:admin -X POST -d '{"Bus":"21", "SlaveAddress":"0x4d",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</si>
  <si>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'{"Bus":"21", "SlaveAddress":"0x4e",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</si>
  <si>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'{"Bus":"21", "SlaveAddress":"0x4f",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</si>
  <si>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'{"Bus":"20", "SlaveAddress":"0x71",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</si>
  <si>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'{"Bus":"22", "SlaveAddress":"0x74",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</si>
  <si>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'{"Bus":"22", "SlaveAddress":"0x77",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</si>
  <si>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'{"Bus":"2", "SlaveAddress":"0x75", "ReadCount":"1", "WriteData":"0x0"'} -H "Content-Type: application/json" -k https://10.32.9.63/redfish/v1/Managers/System/Actions/Manager.MasterWriteRead</t>
    <phoneticPr fontId="2" type="noConversion"/>
  </si>
  <si>
    <t>Check BMC SDR</t>
    <phoneticPr fontId="2" type="noConversion"/>
  </si>
  <si>
    <t>Check BMC SEL</t>
    <phoneticPr fontId="2" type="noConversion"/>
  </si>
  <si>
    <t>curl -b cjar -u admin:admin -k https://${BMCIP}:443/redfish/v1/Managers/System/LogServices/Log/Entries</t>
    <phoneticPr fontId="2" type="noConversion"/>
  </si>
  <si>
    <t>curl -b cjar -u admin:admin -k https://10.32.9.63/redfish/v1/Chassis/System/Sensors</t>
    <phoneticPr fontId="2" type="noConversion"/>
  </si>
  <si>
    <t>test_i2c.py
i2cget -y -f 2 0x76 0x0</t>
    <phoneticPr fontId="2" type="noConversion"/>
  </si>
  <si>
    <t>test_i2c.py
PCA9548()
/usr/sbin/i2cset -y -f 1 112 0
/usr/sbin/i2cget -y -f 1 112
/usr/sbin/i2cset -y -f 1 112 1
/usr/sbin/i2cget -y -f 1 112
/usr/sbin/i2cset -y -f 1 112 2
/usr/sbin/i2cget -y -f 1 112
/usr/sbin/i2cset -y -f 1 112 3
/usr/sbin/i2cget -y -f 1 112
/usr/sbin/i2cset -y -f 1 112 4
/usr/sbin/i2cget -y -f 1 112
/usr/sbin/i2cset -y -f 1 112 5
/usr/sbin/i2cget -y -f 1 112
/usr/sbin/i2cset -y -f 1 112 6
/usr/sbin/i2cget -y -f 1 112
/usr/sbin/i2cset -y -f 1 112 7
/usr/sbin/i2cget -y -f 1 112</t>
    <phoneticPr fontId="1" type="noConversion"/>
  </si>
  <si>
    <t>test_i2c.py
Check_PSU_PG()
/usr/sbin/i2cget -y -f 1 0x74 0x00
Check_HS_PWR_GD_GPU()
/usr/sbin/i2cget -y -f 1 0x74 0x01</t>
    <phoneticPr fontId="1" type="noConversion"/>
  </si>
  <si>
    <t>test_lan.py
run()
ping -c $times $IP</t>
    <phoneticPr fontId="1" type="noConversion"/>
  </si>
  <si>
    <t>test_led.py
uid_led()
kill -9 bmchealth_handle
Set GPIO: ((int(direction_ori,16) &amp; 0x00001000) &gt;&gt; 8)
"devmem 0x%x 32 0x%x\n"%(GPIO_GP2_Direction,(int(direction_ori,16)|0x00001000))
ON: "devmem 0x%x 32 0x%x\n"%(GPIO_GP2_Value,int(value_ori,16) &amp; 0xffffefff)
OFF: "devmem 0x%x 32 0x%x\n"%(GPIO_GP2_Value,int(value_ori,16) | 0x00001000)</t>
    <phoneticPr fontId="1" type="noConversion"/>
  </si>
  <si>
    <t>test_bmc.py
cat /etc/os-release  | grep VERSION_ID | awk -F '=' '{print $2}'</t>
    <phoneticPr fontId="1" type="noConversion"/>
  </si>
  <si>
    <t>test_mac.py
checkMac()
mac_guid.py --read-mac</t>
    <phoneticPr fontId="1" type="noConversion"/>
  </si>
  <si>
    <t>test_mac.py
writeMac()
"echo %s | mac_guid.py --write-mac\r"%self.macaddr</t>
    <phoneticPr fontId="1" type="noConversion"/>
  </si>
  <si>
    <t>test_i2c.py
TMP75()
/usr/sbin/i2cget -y -f 0 0x49 0 w</t>
    <phoneticPr fontId="1" type="noConversion"/>
  </si>
  <si>
    <t>test_i2c.py
i2cdetect -y 4
i2cget -y -f 4 0x50 0x0</t>
    <phoneticPr fontId="1" type="noConversion"/>
  </si>
  <si>
    <t>ocs-fru -c 4 -s 50 -w file.txt</t>
  </si>
  <si>
    <t>ocs-fru -c 4 -s 50 -w file.txt</t>
    <phoneticPr fontId="1" type="noConversion"/>
  </si>
  <si>
    <t>test_i2c.py
i2cget -y -f 4 0x50 0</t>
    <phoneticPr fontId="2" type="noConversion"/>
  </si>
  <si>
    <t>test_led.py
power_led()
kill -9 bmchealth_handle
Set GPIO: ((int(direction_ori,16) &amp; 0x00000400) &gt;&gt; 8)
"devmem 0x%x 32 0x%x\n"%(GPIO_GP2_Direction,(int(direction_ori,16)|0x00000400))
ON: "devmem 0x%x 32 0x%x\n"%(GPIO_GP2_Value,int(value_ori,16) &amp; 0x00000400)
OFF: "devmem 0x%x 32 0x%x\n"%(GPIO_GP2_Value,int(value_ori,16) | 0xfffffbff)</t>
    <phoneticPr fontId="1" type="noConversion"/>
  </si>
  <si>
    <t>test_i2c.py
LM20566()
/usr/sbin/i2cget -y -f 0 71 1</t>
    <phoneticPr fontId="1" type="noConversion"/>
  </si>
  <si>
    <t>test_i2c.py
TMP75()
/usr/sbin/i2cget -y -f 0 0x4a 0 w</t>
    <phoneticPr fontId="1" type="noConversion"/>
  </si>
  <si>
    <t>test_throttle.py
fio_rm_throttle()
Set low: 0x53, 0x48, 0x03, 0x02, 0x00, 0x00,0x50
Set high: 0x53, 0x48, 0x03, 0x02, 0xff, 0xfd,0x50</t>
    <phoneticPr fontId="1" type="noConversion"/>
  </si>
  <si>
    <t>BMC_SMB_4/0xE8</t>
    <phoneticPr fontId="2" type="noConversion"/>
  </si>
  <si>
    <t>curl -b cjar -u admin:admin -X POST -d '{"Bus":"3", "SlaveAddress":"0x70",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</si>
  <si>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'{"Bus":"3", "SlaveAddress":"0x75",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</si>
  <si>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'{"Bus":"3", "SlaveAddress":"0x74", "ReadCount":"1", "WriteData":"0x0"'} -H "Content-Type: application/json" -k https://10.32.9.63/redfish/v1/Managers/System/Actions/Manager.MasterWriteRead</t>
    <phoneticPr fontId="2" type="noConversion"/>
  </si>
  <si>
    <t>curl -b cjar -u admin:admin -X POST -d '{"Bus":"3", "SlaveAddress":"0x50", "ReadCount":"1", "WriteData":"0x0"'} -H "Content-Type: application/json" -k https://10.32.9.63/redfish/v1/Managers/System/Actions/Manager.MasterWriteRead</t>
    <phoneticPr fontId="2" type="noConversion"/>
  </si>
  <si>
    <t>test_i2c.py
Check_SDA_i2c_path()
i2cget -y -f 3 0x74 0</t>
    <phoneticPr fontId="1" type="noConversion"/>
  </si>
  <si>
    <t>test_i2c.py
Check_SDA_i2c_path()
i2cget -y -f 4 0x50 0</t>
    <phoneticPr fontId="1" type="noConversion"/>
  </si>
  <si>
    <t>i2cset/i2cget
i2cget -y -f 0 0x4b 0x0</t>
    <phoneticPr fontId="1" type="noConversion"/>
  </si>
  <si>
    <t>i2cget -y -f 2 0x76 0x0</t>
  </si>
  <si>
    <t>0x00</t>
  </si>
  <si>
    <t>i2cget -y -f 21 0x37 0x0</t>
  </si>
  <si>
    <t>0x28</t>
  </si>
  <si>
    <t>i2cget -y -f 21 0x49 0x0</t>
  </si>
  <si>
    <t>0x2e</t>
  </si>
  <si>
    <t>i2cget -y -f 21 0x4a 0x0</t>
  </si>
  <si>
    <t>0x2c</t>
  </si>
  <si>
    <t>i2cget -y -f 21 0x4b 0x0</t>
  </si>
  <si>
    <t>0x2a</t>
  </si>
  <si>
    <t>i2cget -y -f 21 0x4c 0x0</t>
  </si>
  <si>
    <t>0x1e</t>
  </si>
  <si>
    <t>i2cget -y -f 21 0x4d 0x0</t>
  </si>
  <si>
    <t>0x20</t>
  </si>
  <si>
    <t>i2cget -y -f 21 0x4e 0x0</t>
  </si>
  <si>
    <t>0x24</t>
  </si>
  <si>
    <t>i2cget -y -f 21 0x4f 0x0</t>
  </si>
  <si>
    <t>0x21</t>
  </si>
  <si>
    <t>i2cget -y -f 20 0x71 0</t>
  </si>
  <si>
    <t>i2cget -y -f 22 0x74 0</t>
  </si>
  <si>
    <t>0xbf</t>
  </si>
  <si>
    <t>i2cget -y -f2 2 0x77 0</t>
  </si>
  <si>
    <t>0xff</t>
  </si>
  <si>
    <t>i2cget -y -f 2 0x75 0x0</t>
  </si>
  <si>
    <t>i2cget -y -f 3 0x50 0</t>
  </si>
  <si>
    <t>i2cget -y -f 3 0x74 0</t>
  </si>
  <si>
    <t>0xb7</t>
  </si>
  <si>
    <t>i2cget -y -f 3 0x75 0</t>
  </si>
  <si>
    <t>i2cget -y -f 3 0x70 0</t>
  </si>
  <si>
    <t>Except Result</t>
    <phoneticPr fontId="2" type="noConversion"/>
  </si>
  <si>
    <t>Command Line</t>
    <phoneticPr fontId="2" type="noConversion"/>
  </si>
  <si>
    <t>ocs-fru -c -s 50 -w file.txt</t>
  </si>
  <si>
    <t>---- (49%)
echo 125 &gt; /sys/devices/platform/ast_pwm_tacho.0/pwm2_falling
cat /sys/devices/platform/ast_pwm_tacho.0/tacho2_rpm
---- (100%)
echo 255 &gt; /sys/devices/platform/ast_pwm_tacho.0/pwm2_falling
cat /sys/devices/platform/ast_pwm_tacho.0/tacho2_rpm</t>
  </si>
  <si>
    <t>---- (49%)
echo 125 &gt; /sys/devices/platform/ast_pwm_tacho.0/pwm3_falling
cat /sys/devices/platform/ast_pwm_tacho.0/tacho3_rpm
---- (100%)
echo 255 &gt; /sys/devices/platform/ast_pwm_tacho.0/pwm3_falling
cat /sys/devices/platform/ast_pwm_tacho.0/tacho3_rpm</t>
  </si>
  <si>
    <t>---- (49%)
echo 125 &gt; /sys/devices/platform/ast_pwm_tacho.0/pwm4_falling
cat /sys/devices/platform/ast_pwm_tacho.0/tacho4_rpm
---- (100%)
echo 255 &gt; /sys/devices/platform/ast_pwm_tacho.0/pwm4_falling
cat /sys/devices/platform/ast_pwm_tacho.0/tacho4_rpm</t>
  </si>
  <si>
    <t>---- (49%)
echo 125 &gt; /sys/devices/platform/ast_pwm_tacho.0/pwm5_falling
cat /sys/devices/platform/ast_pwm_tacho.0/tacho5_rpm
---- (100%)
echo 255 &gt; /sys/devices/platform/ast_pwm_tacho.0/pwm5_falling
cat /sys/devices/platform/ast_pwm_tacho.0/tacho5_rpm</t>
  </si>
  <si>
    <t>---- (49%)
echo 125 &gt; /sys/devices/platform/ast_pwm_tacho.0/pwm6_falling
cat /sys/devices/platform/ast_pwm_tacho.0/tacho6_rpm
---- (100%)
echo 255 &gt; /sys/devices/platform/ast_pwm_tacho.0/pwm6_falling
cat /sys/devices/platform/ast_pwm_tacho.0/tacho6_rpm</t>
  </si>
  <si>
    <t>---- (49%)
echo 125 &gt; /sys/devices/platform/ast_pwm_tacho.0/pwm1_falling
cat /sys/devices/platform/ast_pwm_tacho.0/tacho7_rpm
---- (100%)
echo 255 &gt; /sys/devices/platform/ast_pwm_tacho.0/pwm1_falling
cat /sys/devices/platform/ast_pwm_tacho.0/tacho7_rpm</t>
  </si>
  <si>
    <t>---- (49%)
echo 125 &gt; /sys/devices/platform/ast_pwm_tacho.0/pwm2_falling
cat /sys/devices/platform/ast_pwm_tacho.0/tacho8_rpm
---- (100%)
echo 255 &gt; /sys/devices/platform/ast_pwm_tacho.0/pwm2_falling
cat /sys/devices/platform/ast_pwm_tacho.0/tacho8_rpm</t>
  </si>
  <si>
    <t>---- (49%)
echo 125 &gt; /sys/devices/platform/ast_pwm_tacho.0/pwm3_falling
cat /sys/devices/platform/ast_pwm_tacho.0/tacho9_rpm
---- (100%)
echo 255 &gt; /sys/devices/platform/ast_pwm_tacho.0/pwm3_falling
cat /sys/devices/platform/ast_pwm_tacho.0/tacho9_rpm</t>
  </si>
  <si>
    <t>---- (49%)
echo 125 &gt; /sys/devices/platform/ast_pwm_tacho.0/pwm4_falling
cat /sys/devices/platform/ast_pwm_tacho.0/tacho10_rpm
---- (100%)
echo 255 &gt; /sys/devices/platform/ast_pwm_tacho.0/pwm4_falling
cat /sys/devices/platform/ast_pwm_tacho.0/tacho10_rpm</t>
  </si>
  <si>
    <t>---- (49%)
echo 125 &gt; /sys/devices/platform/ast_pwm_tacho.0/pwm5_falling
cat /sys/devices/platform/ast_pwm_tacho.0/tacho11_rpm
---- (100%)
echo 255 &gt; /sys/devices/platform/ast_pwm_tacho.0/pwm5_falling
cat /sys/devices/platform/ast_pwm_tacho.0/tacho11_rpm</t>
  </si>
  <si>
    <t>---- (49%)
echo 125 &gt; /sys/devices/platform/ast_pwm_tacho.0/pwm6_falling
cat /sys/devices/platform/ast_pwm_tacho.0/tacho12_rpm
---- (100%)
echo 255 &gt; /sys/devices/platform/ast_pwm_tacho.0/pwm6_falling
cat /sys/devices/platform/ast_pwm_tacho.0/tacho12_rpm</t>
  </si>
  <si>
    <t>i2cget -y -f 0 16 1</t>
  </si>
  <si>
    <t>i2cget -y -f 0 17 1</t>
  </si>
  <si>
    <t>i2cget -y -f 0 64 1</t>
  </si>
  <si>
    <t>i2cget -y -f 0 65 1</t>
  </si>
  <si>
    <t>i2cget -y -f 0 66 1</t>
  </si>
  <si>
    <t>i2cget -y -f 0 67 1</t>
  </si>
  <si>
    <t>i2cget -y -f 0 68 1</t>
  </si>
  <si>
    <t>i2cget -y -f 0 69 1</t>
  </si>
  <si>
    <t>i2cget -y -f 0 70 1</t>
  </si>
  <si>
    <t>i2cget -y -f 0 71 1</t>
  </si>
  <si>
    <t>i2cget -y -f 4 0x50 0</t>
  </si>
  <si>
    <t>/usr/sbin/i2cget -y -f 1 0x74 0x00
------------------------------------------------------
/usr/sbin/i2cget -y -f 1 0x74 0x01</t>
    <phoneticPr fontId="1" type="noConversion"/>
  </si>
  <si>
    <t>0xbf
-----------
0xff</t>
    <phoneticPr fontId="1" type="noConversion"/>
  </si>
  <si>
    <t>/usr/sbin/i2cset -y -f 1 112 0
/usr/sbin/i2cget -y -f 1 112
----------------------------------------
/usr/sbin/i2cset -y -f 1 112 1
/usr/sbin/i2cget -y -f 1 112
------------------------------------------
/usr/sbin/i2cset -y -f 1 112 2
/usr/sbin/i2cget -y -f 1 112
-------------------------------------------
/usr/sbin/i2cset -y -f 1 112 3
/usr/sbin/i2cget -y -f 1 112
----------------------------------------------
/usr/sbin/i2cset -y -f 1 112 4
/usr/sbin/i2cget -y -f 1 112
---------------------------------------------
/usr/sbin/i2cset -y -f 1 112 5
/usr/sbin/i2cget -y -f 1 112
------------------------------------------
/usr/sbin/i2cset -y -f 1 112 6
/usr/sbin/i2cget -y -f 1 112
------------------------------------------
/usr/sbin/i2cset -y -f 1 112 7
/usr/sbin/i2cget -y -f 1 112</t>
    <phoneticPr fontId="1" type="noConversion"/>
  </si>
  <si>
    <t>test_i2c.py
PCA9539()
/usr/sbin/i2cget -y -f 1 116 6
/usr/sbin/i2cget -y -f 1 116 7</t>
    <phoneticPr fontId="1" type="noConversion"/>
  </si>
  <si>
    <t>0x00
-------
0x01
-------
0x02
-------
0x03
--------
0x04
---------
0x05
----------
0x06
---------
0x07</t>
    <phoneticPr fontId="1" type="noConversion"/>
  </si>
  <si>
    <t>/usr/sbin/i2cget -y -f 1 116 6
/usr/sbin/i2cget -y -f 1 116 7</t>
    <phoneticPr fontId="1" type="noConversion"/>
  </si>
  <si>
    <t>0xff</t>
    <phoneticPr fontId="1" type="noConversion"/>
  </si>
  <si>
    <t>fan duty:125, fan speed:10060 (49%)
fan duty:255, fan speed:20814(100%)</t>
  </si>
  <si>
    <t>fan duty:125, fan speed:10063 (49%)
fan duty:255, fan speed:20797(100%)</t>
  </si>
  <si>
    <t>fan duty:125, fan speed:10062 (49%)
fan duty:255, fan speed:20804(100%)</t>
  </si>
  <si>
    <t>fan duty:125, fan speed:10059(49%)
fan duty:255, fan speed:20794(100%)</t>
  </si>
  <si>
    <t>fan duty:125, fan speed:10021(49%)
fan duty:255, fan speed:20794(100%)</t>
  </si>
  <si>
    <t>fan duty:125, fan speed:10154(49%)
fan duty:255, fan speed:20797(100%)</t>
  </si>
  <si>
    <t>fan duty:125, fan speed:10059(49%)
fan duty:255, fan speed:21231(100%)</t>
  </si>
  <si>
    <t>fan duty:125, fan speed:10063 (49%)
fan duty:255, fan speed:20785(100%)</t>
  </si>
  <si>
    <t>fan duty:125, fan speed:10063(49%)
fan duty:255, fan speed:20804(100%)</t>
  </si>
  <si>
    <t>fan duty:125, fan speed:10063(49%)
fan duty:255, fan speed:20826(100%)</t>
  </si>
  <si>
    <t>fan duty:125, fan speed:10063(49%)
fan duty:255, fan speed:20806(100%)</t>
  </si>
  <si>
    <t>fan duty:125, fan speed:10154(49%)
fan duty:255, fan speed:21037(100%)</t>
  </si>
  <si>
    <t>0x80</t>
  </si>
  <si>
    <t>ping -c &lt;time&gt; &lt;IP&gt;</t>
  </si>
  <si>
    <t>UID LED light:
gpioutil -n UID_LED_N -v 0
UID LED dark:
gpioutil -n UID_LED_N -v 1</t>
  </si>
  <si>
    <t>check UID LED light or dark</t>
  </si>
  <si>
    <t>Blade_att_led light:
gpioutil -n BLADE_ATT_LED_N -v 0
Blade_att_led dark:
gpioutil -n BLADE_ATT_LED_N -v 1</t>
  </si>
  <si>
    <t>check Blade_att_led light or dark</t>
  </si>
  <si>
    <t>i2cget -y -f 0 0x49 0 w</t>
  </si>
  <si>
    <t>0x0018</t>
  </si>
  <si>
    <t>i2cget -y -f 0 0x4a 0 w</t>
  </si>
  <si>
    <t>0x001c</t>
  </si>
  <si>
    <t>PWR LED light:
gpioutil -n PWR_STA_LED_N -v 0
PWR LED dark:
gpioutil -n PWR_STA_LED_N -v 1</t>
  </si>
  <si>
    <t>check PWR LED light or dark</t>
  </si>
  <si>
    <t>i2cget -y -f 0 0x4b 0x0</t>
  </si>
  <si>
    <t>0x22</t>
  </si>
  <si>
    <t>i2cget -y -f 4 0x50 0x0</t>
  </si>
  <si>
    <t>"echo %s | mac_guid.py --write-mac\r"%self.macaddr</t>
  </si>
  <si>
    <t>mac_guid.py --read-mac</t>
  </si>
  <si>
    <t>cat /etc/os-release | grep VERSION_ID | awk -F '=' '{print $2}'</t>
  </si>
  <si>
    <t>echo 1 &gt; /sys/class/gpio/gpio260/value 
cat /sys/class/gpio/gpio260/value</t>
  </si>
  <si>
    <t>check CABLE_SW3 port1 light or dark</t>
  </si>
  <si>
    <t>cat /sys/class/gpio/gpio390/value</t>
  </si>
  <si>
    <t>echo 1 &gt; /sys/class/gpio/gpio268/value 
cat /sys/class/gpio/gpio268/value</t>
  </si>
  <si>
    <t>check CABLE_SW4 port1 light or dark</t>
  </si>
  <si>
    <t>0x0019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</si>
</sst>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 wrapText="1"/>
    </xf>
    <xf numFmtId="0" fontId="4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>
      <alignment vertical="center"/>
    </xf>
    <xf numFmtId="0" fontId="6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/>
    <xf numFmtId="9" fontId="5" fillId="3" borderId="0" xfId="0" applyNumberFormat="1" applyFont="1" applyFill="1" applyAlignment="1"/>
    <xf numFmtId="0" fontId="4" fillId="0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8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5" borderId="6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opLeftCell="C1" zoomScale="85" zoomScaleNormal="85" workbookViewId="0">
      <selection activeCell="O5" sqref="O5:P5"/>
    </sheetView>
  </sheetViews>
  <sheetFormatPr defaultColWidth="9.140625" defaultRowHeight="15" x14ac:dyDescent="0.25"/>
  <cols>
    <col min="1" max="1" width="38.42578125" style="2" bestFit="1" customWidth="1"/>
    <col min="2" max="2" width="11" style="2" bestFit="1" customWidth="1"/>
    <col min="3" max="3" width="21" style="2" bestFit="1" customWidth="1"/>
    <col min="4" max="4" width="24.28515625" style="2" bestFit="1" customWidth="1"/>
    <col min="5" max="5" width="17.140625" style="2" bestFit="1" customWidth="1"/>
    <col min="6" max="6" width="25.42578125" style="2" bestFit="1" customWidth="1"/>
    <col min="7" max="7" width="26.42578125" style="2" bestFit="1" customWidth="1"/>
    <col min="8" max="8" width="29.85546875" style="2" customWidth="1"/>
    <col min="9" max="9" width="29.42578125" style="2" bestFit="1" customWidth="1"/>
    <col min="10" max="10" width="29.5703125" style="2" bestFit="1" customWidth="1"/>
    <col min="11" max="11" width="10.28515625" style="2" customWidth="1"/>
    <col min="12" max="12" width="18.42578125" style="2" customWidth="1"/>
    <col min="13" max="13" width="19.5703125" style="2" customWidth="1"/>
    <col min="14" max="14" width="28" style="2" customWidth="1"/>
    <col min="15" max="15" width="21.42578125" style="2" customWidth="1"/>
    <col min="16" max="16" width="14.140625" style="2" customWidth="1"/>
    <col min="17" max="16384" width="9.140625" style="2"/>
  </cols>
  <sheetData>
    <row r="1" spans="1:16" ht="18.75" x14ac:dyDescent="0.3">
      <c r="A1" s="1" t="s">
        <v>0</v>
      </c>
    </row>
    <row r="2" spans="1:16" x14ac:dyDescent="0.25">
      <c r="A2" s="3" t="s">
        <v>1</v>
      </c>
      <c r="B2" s="2" t="s">
        <v>12</v>
      </c>
    </row>
    <row r="3" spans="1:16" x14ac:dyDescent="0.25">
      <c r="A3" s="3" t="s">
        <v>2</v>
      </c>
      <c r="B3" s="2" t="s">
        <v>311</v>
      </c>
    </row>
    <row r="5" spans="1:16" s="4" customFormat="1" ht="49.5" customHeight="1" thickBo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71</v>
      </c>
      <c r="K5" s="12" t="s">
        <v>72</v>
      </c>
      <c r="L5" s="12" t="s">
        <v>73</v>
      </c>
      <c r="M5" s="12" t="s">
        <v>74</v>
      </c>
      <c r="N5" s="12" t="s">
        <v>313</v>
      </c>
      <c r="O5" s="12" t="s">
        <v>385</v>
      </c>
      <c r="P5" s="12" t="s">
        <v>384</v>
      </c>
    </row>
    <row r="6" spans="1:16" ht="150.75" thickBot="1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224</v>
      </c>
      <c r="F6" s="6" t="s">
        <v>330</v>
      </c>
      <c r="G6" s="11" t="s">
        <v>249</v>
      </c>
      <c r="H6" s="20" t="s">
        <v>237</v>
      </c>
      <c r="I6" s="11" t="s">
        <v>252</v>
      </c>
      <c r="J6" s="5" t="s">
        <v>75</v>
      </c>
      <c r="K6" s="10">
        <v>20</v>
      </c>
      <c r="L6" s="11"/>
      <c r="M6" s="11"/>
      <c r="N6" s="20" t="s">
        <v>312</v>
      </c>
      <c r="O6" s="42" t="s">
        <v>355</v>
      </c>
      <c r="P6" s="43" t="s">
        <v>356</v>
      </c>
    </row>
    <row r="7" spans="1:16" ht="150.75" thickBot="1" x14ac:dyDescent="0.25">
      <c r="A7" s="5" t="s">
        <v>17</v>
      </c>
      <c r="B7" s="5" t="s">
        <v>14</v>
      </c>
      <c r="C7" s="5" t="s">
        <v>15</v>
      </c>
      <c r="D7" s="5" t="s">
        <v>16</v>
      </c>
      <c r="E7" s="5" t="s">
        <v>224</v>
      </c>
      <c r="F7" s="6" t="s">
        <v>18</v>
      </c>
      <c r="G7" s="11" t="s">
        <v>249</v>
      </c>
      <c r="H7" s="20" t="s">
        <v>239</v>
      </c>
      <c r="I7" s="11" t="s">
        <v>251</v>
      </c>
      <c r="J7" s="5" t="s">
        <v>76</v>
      </c>
      <c r="K7" s="10">
        <v>20</v>
      </c>
      <c r="L7" s="11"/>
      <c r="M7" s="11"/>
      <c r="N7" s="20" t="s">
        <v>314</v>
      </c>
      <c r="O7" s="42" t="s">
        <v>357</v>
      </c>
      <c r="P7" s="43" t="s">
        <v>358</v>
      </c>
    </row>
    <row r="8" spans="1:16" ht="150.75" thickBot="1" x14ac:dyDescent="0.25">
      <c r="A8" s="5" t="s">
        <v>19</v>
      </c>
      <c r="B8" s="5" t="s">
        <v>14</v>
      </c>
      <c r="C8" s="5" t="s">
        <v>15</v>
      </c>
      <c r="D8" s="5" t="s">
        <v>16</v>
      </c>
      <c r="E8" s="5" t="s">
        <v>224</v>
      </c>
      <c r="F8" s="6" t="s">
        <v>20</v>
      </c>
      <c r="G8" s="11" t="s">
        <v>249</v>
      </c>
      <c r="H8" s="20" t="s">
        <v>239</v>
      </c>
      <c r="I8" s="11" t="s">
        <v>251</v>
      </c>
      <c r="J8" s="5" t="s">
        <v>77</v>
      </c>
      <c r="K8" s="10">
        <v>20</v>
      </c>
      <c r="L8" s="11"/>
      <c r="M8" s="11"/>
      <c r="N8" s="20" t="s">
        <v>315</v>
      </c>
      <c r="O8" s="42" t="s">
        <v>359</v>
      </c>
      <c r="P8" s="43" t="s">
        <v>360</v>
      </c>
    </row>
    <row r="9" spans="1:16" ht="150.75" thickBot="1" x14ac:dyDescent="0.25">
      <c r="A9" s="5" t="s">
        <v>19</v>
      </c>
      <c r="B9" s="5" t="s">
        <v>14</v>
      </c>
      <c r="C9" s="5" t="s">
        <v>15</v>
      </c>
      <c r="D9" s="5" t="s">
        <v>16</v>
      </c>
      <c r="E9" s="5" t="s">
        <v>224</v>
      </c>
      <c r="F9" s="6" t="s">
        <v>21</v>
      </c>
      <c r="G9" s="11" t="s">
        <v>249</v>
      </c>
      <c r="H9" s="20" t="s">
        <v>238</v>
      </c>
      <c r="I9" s="11" t="s">
        <v>251</v>
      </c>
      <c r="J9" s="5" t="s">
        <v>78</v>
      </c>
      <c r="K9" s="10">
        <v>20</v>
      </c>
      <c r="L9" s="11"/>
      <c r="M9" s="11"/>
      <c r="N9" s="20" t="s">
        <v>316</v>
      </c>
      <c r="O9" s="42" t="s">
        <v>361</v>
      </c>
      <c r="P9" s="43" t="s">
        <v>362</v>
      </c>
    </row>
    <row r="10" spans="1:16" ht="150.75" thickBot="1" x14ac:dyDescent="0.25">
      <c r="A10" s="5" t="s">
        <v>19</v>
      </c>
      <c r="B10" s="5" t="s">
        <v>14</v>
      </c>
      <c r="C10" s="5" t="s">
        <v>15</v>
      </c>
      <c r="D10" s="5" t="s">
        <v>16</v>
      </c>
      <c r="E10" s="5" t="s">
        <v>224</v>
      </c>
      <c r="F10" s="6" t="s">
        <v>22</v>
      </c>
      <c r="G10" s="11" t="s">
        <v>249</v>
      </c>
      <c r="H10" s="20" t="s">
        <v>238</v>
      </c>
      <c r="I10" s="11" t="s">
        <v>251</v>
      </c>
      <c r="J10" s="5" t="s">
        <v>79</v>
      </c>
      <c r="K10" s="10">
        <v>20</v>
      </c>
      <c r="L10" s="11"/>
      <c r="M10" s="11"/>
      <c r="N10" s="20" t="s">
        <v>317</v>
      </c>
      <c r="O10" s="42" t="s">
        <v>363</v>
      </c>
      <c r="P10" s="43" t="s">
        <v>364</v>
      </c>
    </row>
    <row r="11" spans="1:16" ht="150.75" thickBot="1" x14ac:dyDescent="0.25">
      <c r="A11" s="5" t="s">
        <v>19</v>
      </c>
      <c r="B11" s="5" t="s">
        <v>14</v>
      </c>
      <c r="C11" s="5" t="s">
        <v>15</v>
      </c>
      <c r="D11" s="5" t="s">
        <v>16</v>
      </c>
      <c r="E11" s="5" t="s">
        <v>224</v>
      </c>
      <c r="F11" s="6" t="s">
        <v>23</v>
      </c>
      <c r="G11" s="11" t="s">
        <v>249</v>
      </c>
      <c r="H11" s="20" t="s">
        <v>238</v>
      </c>
      <c r="I11" s="11" t="s">
        <v>251</v>
      </c>
      <c r="J11" s="5" t="s">
        <v>80</v>
      </c>
      <c r="K11" s="10">
        <v>20</v>
      </c>
      <c r="L11" s="11"/>
      <c r="M11" s="11"/>
      <c r="N11" s="20" t="s">
        <v>318</v>
      </c>
      <c r="O11" s="42" t="s">
        <v>365</v>
      </c>
      <c r="P11" s="43" t="s">
        <v>366</v>
      </c>
    </row>
    <row r="12" spans="1:16" ht="150.75" thickBot="1" x14ac:dyDescent="0.25">
      <c r="A12" s="5" t="s">
        <v>19</v>
      </c>
      <c r="B12" s="5" t="s">
        <v>14</v>
      </c>
      <c r="C12" s="5" t="s">
        <v>15</v>
      </c>
      <c r="D12" s="5" t="s">
        <v>16</v>
      </c>
      <c r="E12" s="5" t="s">
        <v>224</v>
      </c>
      <c r="F12" s="6" t="s">
        <v>24</v>
      </c>
      <c r="G12" s="11" t="s">
        <v>249</v>
      </c>
      <c r="H12" s="20" t="s">
        <v>238</v>
      </c>
      <c r="I12" s="11" t="s">
        <v>251</v>
      </c>
      <c r="J12" s="5" t="s">
        <v>81</v>
      </c>
      <c r="K12" s="10">
        <v>20</v>
      </c>
      <c r="L12" s="11"/>
      <c r="M12" s="11"/>
      <c r="N12" s="20" t="s">
        <v>319</v>
      </c>
      <c r="O12" s="42" t="s">
        <v>367</v>
      </c>
      <c r="P12" s="43" t="s">
        <v>368</v>
      </c>
    </row>
    <row r="13" spans="1:16" ht="150.75" thickBot="1" x14ac:dyDescent="0.25">
      <c r="A13" s="5" t="s">
        <v>19</v>
      </c>
      <c r="B13" s="5" t="s">
        <v>14</v>
      </c>
      <c r="C13" s="5" t="s">
        <v>15</v>
      </c>
      <c r="D13" s="5" t="s">
        <v>16</v>
      </c>
      <c r="E13" s="5" t="s">
        <v>224</v>
      </c>
      <c r="F13" s="6" t="s">
        <v>25</v>
      </c>
      <c r="G13" s="11" t="s">
        <v>249</v>
      </c>
      <c r="H13" s="20" t="s">
        <v>238</v>
      </c>
      <c r="I13" s="11" t="s">
        <v>251</v>
      </c>
      <c r="J13" s="5" t="s">
        <v>82</v>
      </c>
      <c r="K13" s="10">
        <v>20</v>
      </c>
      <c r="L13" s="11"/>
      <c r="M13" s="11"/>
      <c r="N13" s="20" t="s">
        <v>320</v>
      </c>
      <c r="O13" s="42" t="s">
        <v>369</v>
      </c>
      <c r="P13" s="43" t="s">
        <v>370</v>
      </c>
    </row>
    <row r="14" spans="1:16" ht="150.75" thickBot="1" x14ac:dyDescent="0.25">
      <c r="A14" s="5" t="s">
        <v>19</v>
      </c>
      <c r="B14" s="5" t="s">
        <v>14</v>
      </c>
      <c r="C14" s="5" t="s">
        <v>15</v>
      </c>
      <c r="D14" s="5" t="s">
        <v>16</v>
      </c>
      <c r="E14" s="5" t="s">
        <v>224</v>
      </c>
      <c r="F14" s="6" t="s">
        <v>26</v>
      </c>
      <c r="G14" s="11" t="s">
        <v>249</v>
      </c>
      <c r="H14" s="20" t="s">
        <v>238</v>
      </c>
      <c r="I14" s="11" t="s">
        <v>251</v>
      </c>
      <c r="J14" s="5" t="s">
        <v>83</v>
      </c>
      <c r="K14" s="10">
        <v>20</v>
      </c>
      <c r="L14" s="11"/>
      <c r="M14" s="11"/>
      <c r="N14" s="20" t="s">
        <v>321</v>
      </c>
      <c r="O14" s="42" t="s">
        <v>371</v>
      </c>
      <c r="P14" s="43" t="s">
        <v>372</v>
      </c>
    </row>
    <row r="15" spans="1:16" ht="150.75" thickBot="1" x14ac:dyDescent="0.25">
      <c r="A15" s="5" t="s">
        <v>27</v>
      </c>
      <c r="B15" s="5" t="s">
        <v>14</v>
      </c>
      <c r="C15" s="5" t="s">
        <v>15</v>
      </c>
      <c r="D15" s="5" t="s">
        <v>16</v>
      </c>
      <c r="E15" s="5" t="s">
        <v>224</v>
      </c>
      <c r="F15" s="6" t="s">
        <v>28</v>
      </c>
      <c r="G15" s="11" t="s">
        <v>249</v>
      </c>
      <c r="H15" s="20" t="s">
        <v>240</v>
      </c>
      <c r="I15" s="11" t="s">
        <v>251</v>
      </c>
      <c r="J15" s="5" t="s">
        <v>84</v>
      </c>
      <c r="K15" s="10">
        <v>20</v>
      </c>
      <c r="L15" s="11"/>
      <c r="M15" s="11"/>
      <c r="N15" s="20" t="s">
        <v>322</v>
      </c>
      <c r="O15" s="42" t="s">
        <v>373</v>
      </c>
      <c r="P15" s="43" t="s">
        <v>356</v>
      </c>
    </row>
    <row r="16" spans="1:16" ht="150.75" thickBot="1" x14ac:dyDescent="0.25">
      <c r="A16" s="5" t="s">
        <v>29</v>
      </c>
      <c r="B16" s="5" t="s">
        <v>14</v>
      </c>
      <c r="C16" s="5" t="s">
        <v>15</v>
      </c>
      <c r="D16" s="5" t="s">
        <v>16</v>
      </c>
      <c r="E16" s="5" t="s">
        <v>224</v>
      </c>
      <c r="F16" s="6" t="s">
        <v>30</v>
      </c>
      <c r="G16" s="11" t="s">
        <v>249</v>
      </c>
      <c r="H16" s="20" t="s">
        <v>240</v>
      </c>
      <c r="I16" s="11" t="s">
        <v>251</v>
      </c>
      <c r="J16" s="5" t="s">
        <v>85</v>
      </c>
      <c r="K16" s="10">
        <v>20</v>
      </c>
      <c r="L16" s="11"/>
      <c r="M16" s="11"/>
      <c r="N16" s="20" t="s">
        <v>323</v>
      </c>
      <c r="O16" s="42" t="s">
        <v>374</v>
      </c>
      <c r="P16" s="43" t="s">
        <v>375</v>
      </c>
    </row>
    <row r="17" spans="1:16" ht="150.75" thickBot="1" x14ac:dyDescent="0.25">
      <c r="A17" s="5" t="s">
        <v>31</v>
      </c>
      <c r="B17" s="5" t="s">
        <v>14</v>
      </c>
      <c r="C17" s="5" t="s">
        <v>15</v>
      </c>
      <c r="D17" s="5" t="s">
        <v>16</v>
      </c>
      <c r="E17" s="5" t="s">
        <v>224</v>
      </c>
      <c r="F17" s="6" t="s">
        <v>32</v>
      </c>
      <c r="G17" s="11" t="s">
        <v>249</v>
      </c>
      <c r="H17" s="20" t="s">
        <v>240</v>
      </c>
      <c r="I17" s="11" t="s">
        <v>251</v>
      </c>
      <c r="J17" s="5" t="s">
        <v>86</v>
      </c>
      <c r="K17" s="10">
        <v>20</v>
      </c>
      <c r="L17" s="11"/>
      <c r="M17" s="11"/>
      <c r="N17" s="20" t="s">
        <v>324</v>
      </c>
      <c r="O17" s="42" t="s">
        <v>376</v>
      </c>
      <c r="P17" s="43" t="s">
        <v>377</v>
      </c>
    </row>
    <row r="18" spans="1:16" ht="150.75" thickBot="1" x14ac:dyDescent="0.25">
      <c r="A18" s="5" t="s">
        <v>33</v>
      </c>
      <c r="B18" s="5" t="s">
        <v>14</v>
      </c>
      <c r="C18" s="5" t="s">
        <v>15</v>
      </c>
      <c r="D18" s="5" t="s">
        <v>16</v>
      </c>
      <c r="E18" s="5" t="s">
        <v>224</v>
      </c>
      <c r="F18" s="6" t="s">
        <v>34</v>
      </c>
      <c r="G18" s="11" t="s">
        <v>249</v>
      </c>
      <c r="H18" s="20" t="s">
        <v>240</v>
      </c>
      <c r="I18" s="11" t="s">
        <v>251</v>
      </c>
      <c r="J18" s="5" t="s">
        <v>87</v>
      </c>
      <c r="K18" s="10">
        <v>20</v>
      </c>
      <c r="L18" s="11"/>
      <c r="M18" s="11"/>
      <c r="N18" s="20" t="s">
        <v>325</v>
      </c>
      <c r="O18" s="42" t="s">
        <v>378</v>
      </c>
      <c r="P18" s="43" t="s">
        <v>356</v>
      </c>
    </row>
    <row r="19" spans="1:16" ht="150.75" thickBot="1" x14ac:dyDescent="0.25">
      <c r="A19" s="5" t="s">
        <v>35</v>
      </c>
      <c r="B19" s="5" t="s">
        <v>14</v>
      </c>
      <c r="C19" s="5" t="s">
        <v>15</v>
      </c>
      <c r="D19" s="5" t="s">
        <v>16</v>
      </c>
      <c r="E19" s="5" t="s">
        <v>224</v>
      </c>
      <c r="F19" s="6" t="s">
        <v>342</v>
      </c>
      <c r="G19" s="11" t="s">
        <v>249</v>
      </c>
      <c r="H19" s="11" t="s">
        <v>241</v>
      </c>
      <c r="I19" s="11" t="s">
        <v>251</v>
      </c>
      <c r="J19" s="5" t="s">
        <v>88</v>
      </c>
      <c r="K19" s="10">
        <v>20</v>
      </c>
      <c r="L19" s="11"/>
      <c r="M19" s="11"/>
      <c r="N19" s="20" t="s">
        <v>351</v>
      </c>
      <c r="O19" s="42" t="s">
        <v>379</v>
      </c>
      <c r="P19" s="43" t="s">
        <v>356</v>
      </c>
    </row>
    <row r="20" spans="1:16" ht="150.75" thickBot="1" x14ac:dyDescent="0.25">
      <c r="A20" s="5" t="s">
        <v>36</v>
      </c>
      <c r="B20" s="5" t="s">
        <v>14</v>
      </c>
      <c r="C20" s="5" t="s">
        <v>15</v>
      </c>
      <c r="D20" s="5" t="s">
        <v>16</v>
      </c>
      <c r="E20" s="5" t="s">
        <v>224</v>
      </c>
      <c r="F20" s="6" t="s">
        <v>37</v>
      </c>
      <c r="G20" s="11" t="s">
        <v>249</v>
      </c>
      <c r="H20" s="20" t="s">
        <v>240</v>
      </c>
      <c r="I20" s="11" t="s">
        <v>251</v>
      </c>
      <c r="J20" s="5" t="s">
        <v>347</v>
      </c>
      <c r="K20" s="10">
        <v>20</v>
      </c>
      <c r="L20" s="11"/>
      <c r="M20" s="11"/>
      <c r="N20" s="20" t="s">
        <v>350</v>
      </c>
      <c r="O20" s="42" t="s">
        <v>380</v>
      </c>
      <c r="P20" s="43" t="s">
        <v>381</v>
      </c>
    </row>
    <row r="21" spans="1:16" ht="150.75" thickBot="1" x14ac:dyDescent="0.25">
      <c r="A21" s="5" t="s">
        <v>38</v>
      </c>
      <c r="B21" s="5" t="s">
        <v>14</v>
      </c>
      <c r="C21" s="5" t="s">
        <v>15</v>
      </c>
      <c r="D21" s="5" t="s">
        <v>16</v>
      </c>
      <c r="E21" s="5" t="s">
        <v>224</v>
      </c>
      <c r="F21" s="6" t="s">
        <v>37</v>
      </c>
      <c r="G21" s="11" t="s">
        <v>249</v>
      </c>
      <c r="H21" s="20" t="s">
        <v>240</v>
      </c>
      <c r="I21" s="11" t="s">
        <v>251</v>
      </c>
      <c r="J21" s="5" t="s">
        <v>89</v>
      </c>
      <c r="K21" s="10">
        <v>20</v>
      </c>
      <c r="L21" s="11"/>
      <c r="M21" s="11"/>
      <c r="N21" s="20" t="s">
        <v>349</v>
      </c>
      <c r="O21" s="44" t="s">
        <v>382</v>
      </c>
      <c r="P21" s="43" t="s">
        <v>381</v>
      </c>
    </row>
    <row r="22" spans="1:16" ht="150.75" thickBot="1" x14ac:dyDescent="0.25">
      <c r="A22" s="5" t="s">
        <v>13</v>
      </c>
      <c r="B22" s="5" t="s">
        <v>14</v>
      </c>
      <c r="C22" s="5" t="s">
        <v>15</v>
      </c>
      <c r="D22" s="5" t="s">
        <v>16</v>
      </c>
      <c r="E22" s="5" t="s">
        <v>224</v>
      </c>
      <c r="F22" s="6" t="s">
        <v>37</v>
      </c>
      <c r="G22" s="11" t="s">
        <v>249</v>
      </c>
      <c r="H22" s="20" t="s">
        <v>240</v>
      </c>
      <c r="I22" s="11" t="s">
        <v>251</v>
      </c>
      <c r="J22" s="5" t="s">
        <v>90</v>
      </c>
      <c r="K22" s="10">
        <v>20</v>
      </c>
      <c r="L22" s="11"/>
      <c r="M22" s="11"/>
      <c r="N22" s="20" t="s">
        <v>348</v>
      </c>
      <c r="O22" s="42" t="s">
        <v>383</v>
      </c>
      <c r="P22" s="43" t="s">
        <v>356</v>
      </c>
    </row>
    <row r="23" spans="1:16" x14ac:dyDescent="0.25">
      <c r="A23" s="5" t="s">
        <v>39</v>
      </c>
      <c r="B23" s="5" t="s">
        <v>14</v>
      </c>
      <c r="C23" s="5" t="s">
        <v>40</v>
      </c>
      <c r="D23" s="5" t="s">
        <v>41</v>
      </c>
      <c r="E23" s="7" t="s">
        <v>225</v>
      </c>
      <c r="F23" s="22" t="s">
        <v>243</v>
      </c>
      <c r="G23" s="33" t="s">
        <v>250</v>
      </c>
      <c r="H23" s="30" t="s">
        <v>244</v>
      </c>
      <c r="I23" s="11" t="s">
        <v>253</v>
      </c>
      <c r="J23" s="5"/>
      <c r="K23" s="27">
        <v>300</v>
      </c>
      <c r="L23" s="11"/>
      <c r="M23" s="11"/>
    </row>
    <row r="24" spans="1:16" x14ac:dyDescent="0.25">
      <c r="A24" s="5" t="s">
        <v>42</v>
      </c>
      <c r="B24" s="5" t="s">
        <v>14</v>
      </c>
      <c r="C24" s="5" t="s">
        <v>40</v>
      </c>
      <c r="D24" s="5" t="s">
        <v>41</v>
      </c>
      <c r="E24" s="8"/>
      <c r="F24" s="23"/>
      <c r="G24" s="34"/>
      <c r="H24" s="31"/>
      <c r="I24" s="11" t="s">
        <v>253</v>
      </c>
      <c r="J24" s="5"/>
      <c r="K24" s="28"/>
      <c r="L24" s="11"/>
      <c r="M24" s="11"/>
    </row>
    <row r="25" spans="1:16" x14ac:dyDescent="0.25">
      <c r="A25" s="5" t="s">
        <v>43</v>
      </c>
      <c r="B25" s="5" t="s">
        <v>14</v>
      </c>
      <c r="C25" s="5" t="s">
        <v>40</v>
      </c>
      <c r="D25" s="5" t="s">
        <v>41</v>
      </c>
      <c r="E25" s="8"/>
      <c r="F25" s="23"/>
      <c r="G25" s="34"/>
      <c r="H25" s="31"/>
      <c r="I25" s="11" t="s">
        <v>253</v>
      </c>
      <c r="J25" s="5"/>
      <c r="K25" s="28"/>
      <c r="L25" s="11"/>
      <c r="M25" s="11"/>
    </row>
    <row r="26" spans="1:16" x14ac:dyDescent="0.25">
      <c r="A26" s="5" t="s">
        <v>44</v>
      </c>
      <c r="B26" s="5" t="s">
        <v>14</v>
      </c>
      <c r="C26" s="5" t="s">
        <v>40</v>
      </c>
      <c r="D26" s="5" t="s">
        <v>41</v>
      </c>
      <c r="E26" s="8"/>
      <c r="F26" s="23"/>
      <c r="G26" s="34"/>
      <c r="H26" s="31"/>
      <c r="I26" s="11" t="s">
        <v>253</v>
      </c>
      <c r="J26" s="5"/>
      <c r="K26" s="28"/>
      <c r="L26" s="11"/>
      <c r="M26" s="11"/>
    </row>
    <row r="27" spans="1:16" x14ac:dyDescent="0.25">
      <c r="A27" s="5" t="s">
        <v>45</v>
      </c>
      <c r="B27" s="5" t="s">
        <v>14</v>
      </c>
      <c r="C27" s="5" t="s">
        <v>40</v>
      </c>
      <c r="D27" s="5" t="s">
        <v>41</v>
      </c>
      <c r="E27" s="8"/>
      <c r="F27" s="23"/>
      <c r="G27" s="34"/>
      <c r="H27" s="31"/>
      <c r="I27" s="11" t="s">
        <v>253</v>
      </c>
      <c r="J27" s="5"/>
      <c r="K27" s="28"/>
      <c r="L27" s="11"/>
      <c r="M27" s="11"/>
    </row>
    <row r="28" spans="1:16" x14ac:dyDescent="0.25">
      <c r="A28" s="5" t="s">
        <v>46</v>
      </c>
      <c r="B28" s="5" t="s">
        <v>14</v>
      </c>
      <c r="C28" s="5" t="s">
        <v>40</v>
      </c>
      <c r="D28" s="5" t="s">
        <v>41</v>
      </c>
      <c r="E28" s="8"/>
      <c r="F28" s="23"/>
      <c r="G28" s="34"/>
      <c r="H28" s="31"/>
      <c r="I28" s="11" t="s">
        <v>253</v>
      </c>
      <c r="J28" s="5"/>
      <c r="K28" s="28"/>
      <c r="L28" s="11"/>
      <c r="M28" s="11"/>
    </row>
    <row r="29" spans="1:16" x14ac:dyDescent="0.25">
      <c r="A29" s="5" t="s">
        <v>47</v>
      </c>
      <c r="B29" s="5" t="s">
        <v>14</v>
      </c>
      <c r="C29" s="5" t="s">
        <v>40</v>
      </c>
      <c r="D29" s="5" t="s">
        <v>41</v>
      </c>
      <c r="E29" s="8"/>
      <c r="F29" s="23"/>
      <c r="G29" s="34"/>
      <c r="H29" s="31"/>
      <c r="I29" s="11" t="s">
        <v>253</v>
      </c>
      <c r="J29" s="5"/>
      <c r="K29" s="28"/>
      <c r="L29" s="11"/>
      <c r="M29" s="11"/>
    </row>
    <row r="30" spans="1:16" x14ac:dyDescent="0.25">
      <c r="A30" s="5" t="s">
        <v>48</v>
      </c>
      <c r="B30" s="5" t="s">
        <v>14</v>
      </c>
      <c r="C30" s="5" t="s">
        <v>40</v>
      </c>
      <c r="D30" s="5" t="s">
        <v>41</v>
      </c>
      <c r="E30" s="9"/>
      <c r="F30" s="24"/>
      <c r="G30" s="35"/>
      <c r="H30" s="32"/>
      <c r="I30" s="11" t="s">
        <v>253</v>
      </c>
      <c r="J30" s="5"/>
      <c r="K30" s="29"/>
      <c r="L30" s="11"/>
      <c r="M30" s="11"/>
    </row>
    <row r="31" spans="1:16" x14ac:dyDescent="0.25">
      <c r="A31" s="5" t="s">
        <v>49</v>
      </c>
      <c r="B31" s="5" t="s">
        <v>14</v>
      </c>
      <c r="C31" s="5" t="s">
        <v>40</v>
      </c>
      <c r="D31" s="5" t="s">
        <v>41</v>
      </c>
      <c r="E31" s="7" t="s">
        <v>225</v>
      </c>
      <c r="F31" s="22" t="s">
        <v>242</v>
      </c>
      <c r="G31" s="33" t="s">
        <v>250</v>
      </c>
      <c r="H31" s="30" t="s">
        <v>245</v>
      </c>
      <c r="I31" s="11" t="s">
        <v>253</v>
      </c>
      <c r="J31" s="5"/>
      <c r="K31" s="27">
        <v>300</v>
      </c>
      <c r="L31" s="11"/>
      <c r="M31" s="11"/>
    </row>
    <row r="32" spans="1:16" x14ac:dyDescent="0.25">
      <c r="A32" s="5" t="s">
        <v>50</v>
      </c>
      <c r="B32" s="5" t="s">
        <v>14</v>
      </c>
      <c r="C32" s="5" t="s">
        <v>40</v>
      </c>
      <c r="D32" s="5" t="s">
        <v>41</v>
      </c>
      <c r="E32" s="8"/>
      <c r="F32" s="25"/>
      <c r="G32" s="34"/>
      <c r="H32" s="31"/>
      <c r="I32" s="11" t="s">
        <v>253</v>
      </c>
      <c r="J32" s="5"/>
      <c r="K32" s="28"/>
      <c r="L32" s="11"/>
      <c r="M32" s="11"/>
    </row>
    <row r="33" spans="1:15" x14ac:dyDescent="0.25">
      <c r="A33" s="5" t="s">
        <v>51</v>
      </c>
      <c r="B33" s="5" t="s">
        <v>14</v>
      </c>
      <c r="C33" s="5" t="s">
        <v>40</v>
      </c>
      <c r="D33" s="5" t="s">
        <v>41</v>
      </c>
      <c r="E33" s="8"/>
      <c r="F33" s="25"/>
      <c r="G33" s="34"/>
      <c r="H33" s="31"/>
      <c r="I33" s="11" t="s">
        <v>253</v>
      </c>
      <c r="J33" s="5"/>
      <c r="K33" s="28"/>
      <c r="L33" s="11"/>
      <c r="M33" s="11"/>
    </row>
    <row r="34" spans="1:15" x14ac:dyDescent="0.25">
      <c r="A34" s="5" t="s">
        <v>52</v>
      </c>
      <c r="B34" s="5" t="s">
        <v>14</v>
      </c>
      <c r="C34" s="5" t="s">
        <v>40</v>
      </c>
      <c r="D34" s="5" t="s">
        <v>41</v>
      </c>
      <c r="E34" s="8"/>
      <c r="F34" s="25"/>
      <c r="G34" s="34"/>
      <c r="H34" s="31"/>
      <c r="I34" s="11" t="s">
        <v>253</v>
      </c>
      <c r="J34" s="5"/>
      <c r="K34" s="28"/>
      <c r="L34" s="11"/>
      <c r="M34" s="11"/>
    </row>
    <row r="35" spans="1:15" x14ac:dyDescent="0.25">
      <c r="A35" s="5" t="s">
        <v>53</v>
      </c>
      <c r="B35" s="5" t="s">
        <v>14</v>
      </c>
      <c r="C35" s="5" t="s">
        <v>40</v>
      </c>
      <c r="D35" s="5" t="s">
        <v>54</v>
      </c>
      <c r="E35" s="8"/>
      <c r="F35" s="25"/>
      <c r="G35" s="34"/>
      <c r="H35" s="31"/>
      <c r="I35" s="11" t="s">
        <v>253</v>
      </c>
      <c r="J35" s="5"/>
      <c r="K35" s="28"/>
      <c r="L35" s="11"/>
      <c r="M35" s="11"/>
    </row>
    <row r="36" spans="1:15" x14ac:dyDescent="0.25">
      <c r="A36" s="5" t="s">
        <v>55</v>
      </c>
      <c r="B36" s="5" t="s">
        <v>14</v>
      </c>
      <c r="C36" s="5" t="s">
        <v>40</v>
      </c>
      <c r="D36" s="5" t="s">
        <v>56</v>
      </c>
      <c r="E36" s="8"/>
      <c r="F36" s="25"/>
      <c r="G36" s="34"/>
      <c r="H36" s="31"/>
      <c r="I36" s="11" t="s">
        <v>253</v>
      </c>
      <c r="J36" s="5"/>
      <c r="K36" s="28"/>
      <c r="L36" s="11"/>
      <c r="M36" s="11"/>
    </row>
    <row r="37" spans="1:15" x14ac:dyDescent="0.25">
      <c r="A37" s="5" t="s">
        <v>57</v>
      </c>
      <c r="B37" s="5" t="s">
        <v>14</v>
      </c>
      <c r="C37" s="5" t="s">
        <v>40</v>
      </c>
      <c r="D37" s="5" t="s">
        <v>58</v>
      </c>
      <c r="E37" s="8"/>
      <c r="F37" s="25"/>
      <c r="G37" s="34"/>
      <c r="H37" s="31"/>
      <c r="I37" s="11" t="s">
        <v>253</v>
      </c>
      <c r="J37" s="5"/>
      <c r="K37" s="28"/>
      <c r="L37" s="11"/>
      <c r="M37" s="11"/>
    </row>
    <row r="38" spans="1:15" x14ac:dyDescent="0.25">
      <c r="A38" s="5" t="s">
        <v>59</v>
      </c>
      <c r="B38" s="5" t="s">
        <v>14</v>
      </c>
      <c r="C38" s="5" t="s">
        <v>40</v>
      </c>
      <c r="D38" s="5" t="s">
        <v>60</v>
      </c>
      <c r="E38" s="8"/>
      <c r="F38" s="25"/>
      <c r="G38" s="34"/>
      <c r="H38" s="31"/>
      <c r="I38" s="11" t="s">
        <v>253</v>
      </c>
      <c r="J38" s="5"/>
      <c r="K38" s="28"/>
      <c r="L38" s="11"/>
      <c r="M38" s="11"/>
    </row>
    <row r="39" spans="1:15" x14ac:dyDescent="0.25">
      <c r="A39" s="5" t="s">
        <v>61</v>
      </c>
      <c r="B39" s="5" t="s">
        <v>14</v>
      </c>
      <c r="C39" s="5" t="s">
        <v>40</v>
      </c>
      <c r="D39" s="5" t="s">
        <v>41</v>
      </c>
      <c r="E39" s="8"/>
      <c r="F39" s="25"/>
      <c r="G39" s="34"/>
      <c r="H39" s="31"/>
      <c r="I39" s="11" t="s">
        <v>253</v>
      </c>
      <c r="J39" s="5"/>
      <c r="K39" s="28"/>
      <c r="L39" s="11"/>
      <c r="M39" s="11"/>
    </row>
    <row r="40" spans="1:15" x14ac:dyDescent="0.25">
      <c r="A40" s="5" t="s">
        <v>62</v>
      </c>
      <c r="B40" s="5" t="s">
        <v>14</v>
      </c>
      <c r="C40" s="5" t="s">
        <v>40</v>
      </c>
      <c r="D40" s="5" t="s">
        <v>41</v>
      </c>
      <c r="E40" s="8"/>
      <c r="F40" s="25"/>
      <c r="G40" s="34"/>
      <c r="H40" s="31"/>
      <c r="I40" s="11" t="s">
        <v>253</v>
      </c>
      <c r="J40" s="5"/>
      <c r="K40" s="28"/>
      <c r="L40" s="11"/>
      <c r="M40" s="11"/>
    </row>
    <row r="41" spans="1:15" x14ac:dyDescent="0.25">
      <c r="A41" s="5" t="s">
        <v>63</v>
      </c>
      <c r="B41" s="5" t="s">
        <v>14</v>
      </c>
      <c r="C41" s="5" t="s">
        <v>40</v>
      </c>
      <c r="D41" s="5" t="s">
        <v>41</v>
      </c>
      <c r="E41" s="8"/>
      <c r="F41" s="25"/>
      <c r="G41" s="34"/>
      <c r="H41" s="31"/>
      <c r="I41" s="11" t="s">
        <v>253</v>
      </c>
      <c r="J41" s="5"/>
      <c r="K41" s="28"/>
      <c r="L41" s="11"/>
      <c r="M41" s="11"/>
    </row>
    <row r="42" spans="1:15" x14ac:dyDescent="0.25">
      <c r="A42" s="5" t="s">
        <v>64</v>
      </c>
      <c r="B42" s="5" t="s">
        <v>14</v>
      </c>
      <c r="C42" s="5" t="s">
        <v>40</v>
      </c>
      <c r="D42" s="5" t="s">
        <v>41</v>
      </c>
      <c r="E42" s="9"/>
      <c r="F42" s="26"/>
      <c r="G42" s="35"/>
      <c r="H42" s="32"/>
      <c r="I42" s="11" t="s">
        <v>253</v>
      </c>
      <c r="J42" s="5"/>
      <c r="K42" s="29"/>
      <c r="L42" s="11"/>
      <c r="M42" s="11"/>
    </row>
    <row r="43" spans="1:15" ht="30" x14ac:dyDescent="0.25">
      <c r="A43" s="5" t="s">
        <v>65</v>
      </c>
      <c r="B43" s="5" t="s">
        <v>14</v>
      </c>
      <c r="C43" s="5" t="s">
        <v>15</v>
      </c>
      <c r="D43" s="17" t="s">
        <v>291</v>
      </c>
      <c r="E43" s="5" t="s">
        <v>224</v>
      </c>
      <c r="F43" s="10" t="s">
        <v>246</v>
      </c>
      <c r="G43" s="11" t="s">
        <v>249</v>
      </c>
      <c r="H43" s="20" t="s">
        <v>259</v>
      </c>
      <c r="I43" s="11" t="s">
        <v>251</v>
      </c>
      <c r="J43" s="11"/>
      <c r="K43" s="11">
        <v>30</v>
      </c>
      <c r="L43" s="11"/>
      <c r="M43" s="11"/>
      <c r="O43" s="45" t="s">
        <v>386</v>
      </c>
    </row>
    <row r="44" spans="1:15" ht="45" x14ac:dyDescent="0.25">
      <c r="A44" s="2" t="s">
        <v>326</v>
      </c>
      <c r="N44" s="20" t="s">
        <v>329</v>
      </c>
    </row>
    <row r="45" spans="1:15" ht="60" x14ac:dyDescent="0.25">
      <c r="A45" s="2" t="s">
        <v>327</v>
      </c>
      <c r="N45" s="20" t="s">
        <v>328</v>
      </c>
    </row>
  </sheetData>
  <mergeCells count="8">
    <mergeCell ref="F23:F30"/>
    <mergeCell ref="F31:F42"/>
    <mergeCell ref="K23:K30"/>
    <mergeCell ref="K31:K42"/>
    <mergeCell ref="H23:H30"/>
    <mergeCell ref="H31:H42"/>
    <mergeCell ref="G23:G30"/>
    <mergeCell ref="G31:G4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3" workbookViewId="0">
      <selection activeCell="B40" sqref="B40"/>
    </sheetView>
  </sheetViews>
  <sheetFormatPr defaultRowHeight="15.75" x14ac:dyDescent="0.25"/>
  <cols>
    <col min="2" max="2" width="38.42578125" bestFit="1" customWidth="1"/>
    <col min="3" max="3" width="22.28515625" bestFit="1" customWidth="1"/>
  </cols>
  <sheetData>
    <row r="1" spans="1:3" ht="18.75" x14ac:dyDescent="0.3">
      <c r="A1" s="1" t="s">
        <v>66</v>
      </c>
      <c r="B1" s="1"/>
      <c r="C1" s="1"/>
    </row>
    <row r="2" spans="1:3" x14ac:dyDescent="0.25">
      <c r="A2" s="3" t="s">
        <v>67</v>
      </c>
      <c r="B2" s="3"/>
      <c r="C2" s="16">
        <f>COUNTIF(C4:C100,"y")/COUNTA(A4:A100)</f>
        <v>1</v>
      </c>
    </row>
    <row r="3" spans="1:3" x14ac:dyDescent="0.25">
      <c r="A3" s="13" t="s">
        <v>68</v>
      </c>
      <c r="B3" s="13" t="s">
        <v>69</v>
      </c>
      <c r="C3" s="13" t="s">
        <v>70</v>
      </c>
    </row>
    <row r="4" spans="1:3" x14ac:dyDescent="0.25">
      <c r="A4" s="14">
        <v>1</v>
      </c>
      <c r="B4" s="11" t="str">
        <f>FT_TestCoverageMatrix_UBB!A6</f>
        <v>PCA9548</v>
      </c>
      <c r="C4" s="15" t="s">
        <v>91</v>
      </c>
    </row>
    <row r="5" spans="1:3" x14ac:dyDescent="0.25">
      <c r="A5" s="14">
        <v>2</v>
      </c>
      <c r="B5" s="11" t="str">
        <f>FT_TestCoverageMatrix_UBB!A7</f>
        <v>TMP175</v>
      </c>
      <c r="C5" s="15" t="s">
        <v>91</v>
      </c>
    </row>
    <row r="6" spans="1:3" x14ac:dyDescent="0.25">
      <c r="A6" s="14">
        <v>3</v>
      </c>
      <c r="B6" s="11" t="str">
        <f>FT_TestCoverageMatrix_UBB!A8</f>
        <v>TMP75</v>
      </c>
      <c r="C6" s="15" t="s">
        <v>91</v>
      </c>
    </row>
    <row r="7" spans="1:3" x14ac:dyDescent="0.25">
      <c r="A7" s="14">
        <v>4</v>
      </c>
      <c r="B7" s="11" t="str">
        <f>FT_TestCoverageMatrix_UBB!A9</f>
        <v>TMP75</v>
      </c>
      <c r="C7" s="15" t="s">
        <v>91</v>
      </c>
    </row>
    <row r="8" spans="1:3" x14ac:dyDescent="0.25">
      <c r="A8" s="14">
        <v>5</v>
      </c>
      <c r="B8" s="11" t="str">
        <f>FT_TestCoverageMatrix_UBB!A10</f>
        <v>TMP75</v>
      </c>
      <c r="C8" s="15" t="s">
        <v>91</v>
      </c>
    </row>
    <row r="9" spans="1:3" x14ac:dyDescent="0.25">
      <c r="A9" s="14">
        <v>6</v>
      </c>
      <c r="B9" s="11" t="str">
        <f>FT_TestCoverageMatrix_UBB!A11</f>
        <v>TMP75</v>
      </c>
      <c r="C9" s="15" t="s">
        <v>91</v>
      </c>
    </row>
    <row r="10" spans="1:3" x14ac:dyDescent="0.25">
      <c r="A10" s="14">
        <v>7</v>
      </c>
      <c r="B10" s="11" t="str">
        <f>FT_TestCoverageMatrix_UBB!A12</f>
        <v>TMP75</v>
      </c>
      <c r="C10" s="15" t="s">
        <v>91</v>
      </c>
    </row>
    <row r="11" spans="1:3" x14ac:dyDescent="0.25">
      <c r="A11" s="14">
        <v>8</v>
      </c>
      <c r="B11" s="11" t="str">
        <f>FT_TestCoverageMatrix_UBB!A13</f>
        <v>TMP75</v>
      </c>
      <c r="C11" s="15" t="s">
        <v>91</v>
      </c>
    </row>
    <row r="12" spans="1:3" x14ac:dyDescent="0.25">
      <c r="A12" s="14">
        <v>9</v>
      </c>
      <c r="B12" s="11" t="str">
        <f>FT_TestCoverageMatrix_UBB!A14</f>
        <v>TMP75</v>
      </c>
      <c r="C12" s="15" t="s">
        <v>91</v>
      </c>
    </row>
    <row r="13" spans="1:3" x14ac:dyDescent="0.25">
      <c r="A13" s="14">
        <v>10</v>
      </c>
      <c r="B13" s="11" t="str">
        <f>FT_TestCoverageMatrix_UBB!A15</f>
        <v>PCAL9538(U40)</v>
      </c>
      <c r="C13" s="15" t="s">
        <v>91</v>
      </c>
    </row>
    <row r="14" spans="1:3" x14ac:dyDescent="0.25">
      <c r="A14" s="14">
        <v>11</v>
      </c>
      <c r="B14" s="11" t="str">
        <f>FT_TestCoverageMatrix_UBB!A16</f>
        <v>PCAL9539 (U39)</v>
      </c>
      <c r="C14" s="15" t="s">
        <v>91</v>
      </c>
    </row>
    <row r="15" spans="1:3" x14ac:dyDescent="0.25">
      <c r="A15" s="14">
        <v>12</v>
      </c>
      <c r="B15" s="11" t="str">
        <f>FT_TestCoverageMatrix_UBB!A17</f>
        <v>PCAL9539 (U41)</v>
      </c>
      <c r="C15" s="15" t="s">
        <v>91</v>
      </c>
    </row>
    <row r="16" spans="1:3" x14ac:dyDescent="0.25">
      <c r="A16" s="14">
        <v>13</v>
      </c>
      <c r="B16" s="11" t="str">
        <f>FT_TestCoverageMatrix_UBB!A18</f>
        <v>PCA9546</v>
      </c>
      <c r="C16" s="15" t="s">
        <v>91</v>
      </c>
    </row>
    <row r="17" spans="1:3" x14ac:dyDescent="0.25">
      <c r="A17" s="14">
        <v>14</v>
      </c>
      <c r="B17" s="11" t="str">
        <f>FT_TestCoverageMatrix_UBB!A19</f>
        <v>AT24C32</v>
      </c>
      <c r="C17" s="15" t="s">
        <v>91</v>
      </c>
    </row>
    <row r="18" spans="1:3" x14ac:dyDescent="0.25">
      <c r="A18" s="14">
        <v>15</v>
      </c>
      <c r="B18" s="11" t="str">
        <f>FT_TestCoverageMatrix_UBB!A20</f>
        <v>PCAL9539 (U97)</v>
      </c>
      <c r="C18" s="15" t="s">
        <v>91</v>
      </c>
    </row>
    <row r="19" spans="1:3" x14ac:dyDescent="0.25">
      <c r="A19" s="14">
        <v>16</v>
      </c>
      <c r="B19" s="11" t="str">
        <f>FT_TestCoverageMatrix_UBB!A21</f>
        <v>PCAL9539</v>
      </c>
      <c r="C19" s="15" t="s">
        <v>91</v>
      </c>
    </row>
    <row r="20" spans="1:3" x14ac:dyDescent="0.25">
      <c r="A20" s="14">
        <v>17</v>
      </c>
      <c r="B20" s="11" t="str">
        <f>FT_TestCoverageMatrix_UBB!A22</f>
        <v>PCA9548</v>
      </c>
      <c r="C20" s="15" t="s">
        <v>91</v>
      </c>
    </row>
    <row r="21" spans="1:3" x14ac:dyDescent="0.25">
      <c r="A21" s="14">
        <v>18</v>
      </c>
      <c r="B21" s="11" t="str">
        <f>FT_TestCoverageMatrix_UBB!A23</f>
        <v>Mezzaine Test Fixture 0 (GPU0 Socket)</v>
      </c>
      <c r="C21" s="15" t="s">
        <v>91</v>
      </c>
    </row>
    <row r="22" spans="1:3" x14ac:dyDescent="0.25">
      <c r="A22" s="14">
        <v>19</v>
      </c>
      <c r="B22" s="11" t="str">
        <f>FT_TestCoverageMatrix_UBB!A24</f>
        <v>Mezzaine Test Fixture 1 (GPU1 Socket)</v>
      </c>
      <c r="C22" s="15" t="s">
        <v>91</v>
      </c>
    </row>
    <row r="23" spans="1:3" x14ac:dyDescent="0.25">
      <c r="A23" s="14">
        <v>20</v>
      </c>
      <c r="B23" s="11" t="str">
        <f>FT_TestCoverageMatrix_UBB!A25</f>
        <v>Mezzaine Test Fixture 2 (GPU2 Socket)</v>
      </c>
      <c r="C23" s="15" t="s">
        <v>91</v>
      </c>
    </row>
    <row r="24" spans="1:3" x14ac:dyDescent="0.25">
      <c r="A24" s="14">
        <v>21</v>
      </c>
      <c r="B24" s="11" t="str">
        <f>FT_TestCoverageMatrix_UBB!A26</f>
        <v>Mezzaine Test Fixture 3 (GPU3 Socket)</v>
      </c>
      <c r="C24" s="15" t="s">
        <v>91</v>
      </c>
    </row>
    <row r="25" spans="1:3" x14ac:dyDescent="0.25">
      <c r="A25" s="14">
        <v>22</v>
      </c>
      <c r="B25" s="11" t="str">
        <f>FT_TestCoverageMatrix_UBB!A27</f>
        <v>Mezzaine Test Fixture 4 (GPU4 Socket)</v>
      </c>
      <c r="C25" s="15" t="s">
        <v>91</v>
      </c>
    </row>
    <row r="26" spans="1:3" x14ac:dyDescent="0.25">
      <c r="A26" s="14">
        <v>23</v>
      </c>
      <c r="B26" s="11" t="str">
        <f>FT_TestCoverageMatrix_UBB!A28</f>
        <v>Mezzaine Test Fixture 5 (GPU5 Socket)</v>
      </c>
      <c r="C26" s="15" t="s">
        <v>91</v>
      </c>
    </row>
    <row r="27" spans="1:3" x14ac:dyDescent="0.25">
      <c r="A27" s="14">
        <v>24</v>
      </c>
      <c r="B27" s="11" t="str">
        <f>FT_TestCoverageMatrix_UBB!A29</f>
        <v>Mezzaine Test Fixture 6 (GPU6 Socket)</v>
      </c>
      <c r="C27" s="15" t="s">
        <v>91</v>
      </c>
    </row>
    <row r="28" spans="1:3" x14ac:dyDescent="0.25">
      <c r="A28" s="14">
        <v>25</v>
      </c>
      <c r="B28" s="11" t="str">
        <f>FT_TestCoverageMatrix_UBB!A30</f>
        <v>Mezzaine Test Fixture 7 (GPU7 Socket)</v>
      </c>
      <c r="C28" s="15" t="s">
        <v>91</v>
      </c>
    </row>
    <row r="29" spans="1:3" x14ac:dyDescent="0.25">
      <c r="A29" s="14">
        <v>26</v>
      </c>
      <c r="B29" s="11" t="str">
        <f>FT_TestCoverageMatrix_UBB!A31</f>
        <v>PLX9797-0</v>
      </c>
      <c r="C29" s="15" t="s">
        <v>91</v>
      </c>
    </row>
    <row r="30" spans="1:3" x14ac:dyDescent="0.25">
      <c r="A30" s="14">
        <v>27</v>
      </c>
      <c r="B30" s="11" t="str">
        <f>FT_TestCoverageMatrix_UBB!A32</f>
        <v>PLX9797-1</v>
      </c>
      <c r="C30" s="15" t="s">
        <v>91</v>
      </c>
    </row>
    <row r="31" spans="1:3" x14ac:dyDescent="0.25">
      <c r="A31" s="14">
        <v>28</v>
      </c>
      <c r="B31" s="11" t="str">
        <f>FT_TestCoverageMatrix_UBB!A33</f>
        <v>PLX9797-2</v>
      </c>
      <c r="C31" s="15" t="s">
        <v>91</v>
      </c>
    </row>
    <row r="32" spans="1:3" x14ac:dyDescent="0.25">
      <c r="A32" s="14">
        <v>29</v>
      </c>
      <c r="B32" s="11" t="str">
        <f>FT_TestCoverageMatrix_UBB!A34</f>
        <v>PLX9797-3</v>
      </c>
      <c r="C32" s="15" t="s">
        <v>91</v>
      </c>
    </row>
    <row r="33" spans="1:3" x14ac:dyDescent="0.25">
      <c r="A33" s="14">
        <v>30</v>
      </c>
      <c r="B33" s="11" t="str">
        <f>FT_TestCoverageMatrix_UBB!A35</f>
        <v>PCIe Slot-1</v>
      </c>
      <c r="C33" s="15" t="s">
        <v>91</v>
      </c>
    </row>
    <row r="34" spans="1:3" x14ac:dyDescent="0.25">
      <c r="A34" s="14">
        <v>31</v>
      </c>
      <c r="B34" s="11" t="str">
        <f>FT_TestCoverageMatrix_UBB!A36</f>
        <v>PCIe Slot-2</v>
      </c>
      <c r="C34" s="15" t="s">
        <v>91</v>
      </c>
    </row>
    <row r="35" spans="1:3" x14ac:dyDescent="0.25">
      <c r="A35" s="14">
        <v>32</v>
      </c>
      <c r="B35" s="11" t="str">
        <f>FT_TestCoverageMatrix_UBB!A37</f>
        <v>PCIe Slot-3</v>
      </c>
      <c r="C35" s="15" t="s">
        <v>91</v>
      </c>
    </row>
    <row r="36" spans="1:3" x14ac:dyDescent="0.25">
      <c r="A36" s="14">
        <v>33</v>
      </c>
      <c r="B36" s="11" t="str">
        <f>FT_TestCoverageMatrix_UBB!A38</f>
        <v>PCIe Slot-4</v>
      </c>
      <c r="C36" s="15" t="s">
        <v>91</v>
      </c>
    </row>
    <row r="37" spans="1:3" x14ac:dyDescent="0.25">
      <c r="A37" s="14">
        <v>34</v>
      </c>
      <c r="B37" s="11" t="str">
        <f>FT_TestCoverageMatrix_UBB!A39</f>
        <v>SW1</v>
      </c>
      <c r="C37" s="15" t="s">
        <v>91</v>
      </c>
    </row>
    <row r="38" spans="1:3" x14ac:dyDescent="0.25">
      <c r="A38" s="14">
        <v>35</v>
      </c>
      <c r="B38" s="11" t="str">
        <f>FT_TestCoverageMatrix_UBB!A40</f>
        <v>SW2</v>
      </c>
      <c r="C38" s="15" t="s">
        <v>91</v>
      </c>
    </row>
    <row r="39" spans="1:3" x14ac:dyDescent="0.25">
      <c r="A39" s="14">
        <v>36</v>
      </c>
      <c r="B39" s="11" t="str">
        <f>FT_TestCoverageMatrix_UBB!A41</f>
        <v>SW3</v>
      </c>
      <c r="C39" s="15" t="s">
        <v>91</v>
      </c>
    </row>
    <row r="40" spans="1:3" x14ac:dyDescent="0.25">
      <c r="A40" s="14">
        <v>37</v>
      </c>
      <c r="B40" s="11" t="str">
        <f>FT_TestCoverageMatrix_UBB!A42</f>
        <v>SW4</v>
      </c>
      <c r="C40" s="15" t="s">
        <v>91</v>
      </c>
    </row>
    <row r="41" spans="1:3" x14ac:dyDescent="0.25">
      <c r="A41" s="14">
        <v>38</v>
      </c>
      <c r="B41" s="11" t="str">
        <f>FT_TestCoverageMatrix_UBB!A43</f>
        <v>UBB FRU flash</v>
      </c>
      <c r="C41" s="15" t="s">
        <v>91</v>
      </c>
    </row>
    <row r="42" spans="1:3" x14ac:dyDescent="0.25">
      <c r="B42" s="2"/>
    </row>
    <row r="43" spans="1:3" x14ac:dyDescent="0.25">
      <c r="B43" s="2"/>
    </row>
    <row r="44" spans="1:3" x14ac:dyDescent="0.25">
      <c r="B44" s="2"/>
    </row>
    <row r="45" spans="1:3" x14ac:dyDescent="0.25">
      <c r="B45" s="2"/>
    </row>
    <row r="46" spans="1:3" x14ac:dyDescent="0.25">
      <c r="B46" s="2"/>
    </row>
    <row r="47" spans="1:3" x14ac:dyDescent="0.25">
      <c r="B47" s="2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G1" zoomScale="85" zoomScaleNormal="85" workbookViewId="0">
      <selection activeCell="N5" sqref="N5:O5"/>
    </sheetView>
  </sheetViews>
  <sheetFormatPr defaultColWidth="9.140625" defaultRowHeight="15" x14ac:dyDescent="0.25"/>
  <cols>
    <col min="1" max="1" width="38.42578125" style="2" customWidth="1"/>
    <col min="2" max="2" width="11" style="2" customWidth="1"/>
    <col min="3" max="3" width="21" style="2" customWidth="1"/>
    <col min="4" max="4" width="24.28515625" style="2" customWidth="1"/>
    <col min="5" max="5" width="20" style="2" bestFit="1" customWidth="1"/>
    <col min="6" max="6" width="35" style="2" customWidth="1"/>
    <col min="7" max="7" width="26.42578125" style="2" customWidth="1"/>
    <col min="8" max="8" width="14.85546875" style="2" customWidth="1"/>
    <col min="9" max="9" width="29.42578125" style="2" customWidth="1"/>
    <col min="10" max="10" width="29.5703125" style="2" customWidth="1"/>
    <col min="11" max="11" width="10.28515625" style="2" customWidth="1"/>
    <col min="12" max="12" width="18.42578125" style="2" customWidth="1"/>
    <col min="13" max="13" width="19.5703125" style="2" customWidth="1"/>
    <col min="14" max="14" width="63.140625" style="2" customWidth="1"/>
    <col min="15" max="15" width="37.7109375" style="2" customWidth="1"/>
    <col min="16" max="16384" width="9.140625" style="2"/>
  </cols>
  <sheetData>
    <row r="1" spans="1:15" ht="18.75" x14ac:dyDescent="0.3">
      <c r="A1" s="1" t="s">
        <v>0</v>
      </c>
    </row>
    <row r="2" spans="1:15" x14ac:dyDescent="0.25">
      <c r="A2" s="3" t="s">
        <v>1</v>
      </c>
      <c r="B2" s="2" t="s">
        <v>92</v>
      </c>
    </row>
    <row r="3" spans="1:15" x14ac:dyDescent="0.25">
      <c r="A3" s="3" t="s">
        <v>2</v>
      </c>
      <c r="B3" s="2" t="s">
        <v>311</v>
      </c>
    </row>
    <row r="5" spans="1:15" s="4" customFormat="1" ht="49.5" customHeight="1" thickBo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71</v>
      </c>
      <c r="K5" s="12" t="s">
        <v>72</v>
      </c>
      <c r="L5" s="12" t="s">
        <v>73</v>
      </c>
      <c r="M5" s="12" t="s">
        <v>74</v>
      </c>
      <c r="N5" s="12" t="s">
        <v>385</v>
      </c>
      <c r="O5" s="12" t="s">
        <v>384</v>
      </c>
    </row>
    <row r="6" spans="1:15" ht="72.599999999999994" customHeight="1" thickBot="1" x14ac:dyDescent="0.25">
      <c r="A6" s="5" t="s">
        <v>142</v>
      </c>
      <c r="B6" s="5" t="s">
        <v>14</v>
      </c>
      <c r="C6" s="5" t="s">
        <v>15</v>
      </c>
      <c r="D6" s="5" t="s">
        <v>107</v>
      </c>
      <c r="E6" s="5" t="s">
        <v>226</v>
      </c>
      <c r="F6" s="22" t="s">
        <v>297</v>
      </c>
      <c r="G6" s="11" t="s">
        <v>254</v>
      </c>
      <c r="H6" s="30" t="s">
        <v>255</v>
      </c>
      <c r="I6" s="39" t="s">
        <v>251</v>
      </c>
      <c r="J6" s="5" t="s">
        <v>117</v>
      </c>
      <c r="K6" s="36">
        <v>720</v>
      </c>
      <c r="L6" s="11"/>
      <c r="M6" s="11"/>
      <c r="N6" s="42" t="s">
        <v>387</v>
      </c>
      <c r="O6" s="47" t="s">
        <v>416</v>
      </c>
    </row>
    <row r="7" spans="1:15" ht="409.6" customHeight="1" thickBot="1" x14ac:dyDescent="0.25">
      <c r="A7" s="5" t="s">
        <v>143</v>
      </c>
      <c r="B7" s="5" t="s">
        <v>14</v>
      </c>
      <c r="C7" s="5" t="s">
        <v>15</v>
      </c>
      <c r="D7" s="5" t="s">
        <v>107</v>
      </c>
      <c r="E7" s="5" t="s">
        <v>226</v>
      </c>
      <c r="F7" s="23"/>
      <c r="G7" s="11" t="s">
        <v>254</v>
      </c>
      <c r="H7" s="31"/>
      <c r="I7" s="40"/>
      <c r="J7" s="5" t="s">
        <v>118</v>
      </c>
      <c r="K7" s="37"/>
      <c r="L7" s="11"/>
      <c r="M7" s="11"/>
      <c r="N7" s="42" t="s">
        <v>387</v>
      </c>
      <c r="O7" s="47" t="s">
        <v>417</v>
      </c>
    </row>
    <row r="8" spans="1:15" ht="409.6" customHeight="1" thickBot="1" x14ac:dyDescent="0.25">
      <c r="A8" s="5" t="s">
        <v>144</v>
      </c>
      <c r="B8" s="5" t="s">
        <v>14</v>
      </c>
      <c r="C8" s="5" t="s">
        <v>15</v>
      </c>
      <c r="D8" s="5" t="s">
        <v>107</v>
      </c>
      <c r="E8" s="5" t="s">
        <v>226</v>
      </c>
      <c r="F8" s="23"/>
      <c r="G8" s="11" t="s">
        <v>254</v>
      </c>
      <c r="H8" s="31"/>
      <c r="I8" s="40"/>
      <c r="J8" s="5" t="s">
        <v>119</v>
      </c>
      <c r="K8" s="37"/>
      <c r="L8" s="11"/>
      <c r="M8" s="11"/>
      <c r="N8" s="42" t="s">
        <v>388</v>
      </c>
      <c r="O8" s="47" t="s">
        <v>418</v>
      </c>
    </row>
    <row r="9" spans="1:15" ht="409.6" customHeight="1" thickBot="1" x14ac:dyDescent="0.25">
      <c r="A9" s="5" t="s">
        <v>145</v>
      </c>
      <c r="B9" s="5" t="s">
        <v>14</v>
      </c>
      <c r="C9" s="5" t="s">
        <v>15</v>
      </c>
      <c r="D9" s="5" t="s">
        <v>107</v>
      </c>
      <c r="E9" s="5" t="s">
        <v>226</v>
      </c>
      <c r="F9" s="23"/>
      <c r="G9" s="11" t="s">
        <v>254</v>
      </c>
      <c r="H9" s="31"/>
      <c r="I9" s="40"/>
      <c r="J9" s="5" t="s">
        <v>120</v>
      </c>
      <c r="K9" s="37"/>
      <c r="L9" s="11"/>
      <c r="M9" s="11"/>
      <c r="N9" s="42" t="s">
        <v>389</v>
      </c>
      <c r="O9" s="47" t="s">
        <v>419</v>
      </c>
    </row>
    <row r="10" spans="1:15" ht="409.6" customHeight="1" thickBot="1" x14ac:dyDescent="0.25">
      <c r="A10" s="5" t="s">
        <v>146</v>
      </c>
      <c r="B10" s="5" t="s">
        <v>14</v>
      </c>
      <c r="C10" s="5" t="s">
        <v>15</v>
      </c>
      <c r="D10" s="5" t="s">
        <v>107</v>
      </c>
      <c r="E10" s="5" t="s">
        <v>226</v>
      </c>
      <c r="F10" s="23"/>
      <c r="G10" s="11" t="s">
        <v>254</v>
      </c>
      <c r="H10" s="31"/>
      <c r="I10" s="40"/>
      <c r="J10" s="5" t="s">
        <v>121</v>
      </c>
      <c r="K10" s="37"/>
      <c r="L10" s="11"/>
      <c r="M10" s="11"/>
      <c r="N10" s="42" t="s">
        <v>390</v>
      </c>
      <c r="O10" s="47" t="s">
        <v>420</v>
      </c>
    </row>
    <row r="11" spans="1:15" ht="409.6" customHeight="1" thickBot="1" x14ac:dyDescent="0.25">
      <c r="A11" s="5" t="s">
        <v>147</v>
      </c>
      <c r="B11" s="5" t="s">
        <v>14</v>
      </c>
      <c r="C11" s="5" t="s">
        <v>15</v>
      </c>
      <c r="D11" s="5" t="s">
        <v>107</v>
      </c>
      <c r="E11" s="5" t="s">
        <v>226</v>
      </c>
      <c r="F11" s="23"/>
      <c r="G11" s="11" t="s">
        <v>254</v>
      </c>
      <c r="H11" s="31"/>
      <c r="I11" s="40"/>
      <c r="J11" s="5" t="s">
        <v>122</v>
      </c>
      <c r="K11" s="37"/>
      <c r="L11" s="11"/>
      <c r="M11" s="11"/>
      <c r="N11" s="42" t="s">
        <v>391</v>
      </c>
      <c r="O11" s="47" t="s">
        <v>421</v>
      </c>
    </row>
    <row r="12" spans="1:15" ht="409.6" customHeight="1" thickBot="1" x14ac:dyDescent="0.25">
      <c r="A12" s="5" t="s">
        <v>148</v>
      </c>
      <c r="B12" s="5" t="s">
        <v>14</v>
      </c>
      <c r="C12" s="5" t="s">
        <v>15</v>
      </c>
      <c r="D12" s="5" t="s">
        <v>107</v>
      </c>
      <c r="E12" s="5" t="s">
        <v>226</v>
      </c>
      <c r="F12" s="23"/>
      <c r="G12" s="11" t="s">
        <v>254</v>
      </c>
      <c r="H12" s="31"/>
      <c r="I12" s="40"/>
      <c r="J12" s="5" t="s">
        <v>123</v>
      </c>
      <c r="K12" s="37"/>
      <c r="L12" s="11"/>
      <c r="M12" s="11"/>
      <c r="N12" s="42" t="s">
        <v>392</v>
      </c>
      <c r="O12" s="47" t="s">
        <v>422</v>
      </c>
    </row>
    <row r="13" spans="1:15" ht="409.6" customHeight="1" thickBot="1" x14ac:dyDescent="0.25">
      <c r="A13" s="5" t="s">
        <v>149</v>
      </c>
      <c r="B13" s="5" t="s">
        <v>14</v>
      </c>
      <c r="C13" s="5" t="s">
        <v>15</v>
      </c>
      <c r="D13" s="5" t="s">
        <v>107</v>
      </c>
      <c r="E13" s="5" t="s">
        <v>226</v>
      </c>
      <c r="F13" s="23"/>
      <c r="G13" s="11" t="s">
        <v>254</v>
      </c>
      <c r="H13" s="31"/>
      <c r="I13" s="40"/>
      <c r="J13" s="5" t="s">
        <v>124</v>
      </c>
      <c r="K13" s="37"/>
      <c r="L13" s="11"/>
      <c r="M13" s="11"/>
      <c r="N13" s="42" t="s">
        <v>393</v>
      </c>
      <c r="O13" s="47" t="s">
        <v>423</v>
      </c>
    </row>
    <row r="14" spans="1:15" ht="409.6" customHeight="1" thickBot="1" x14ac:dyDescent="0.25">
      <c r="A14" s="5" t="s">
        <v>150</v>
      </c>
      <c r="B14" s="5" t="s">
        <v>14</v>
      </c>
      <c r="C14" s="5" t="s">
        <v>15</v>
      </c>
      <c r="D14" s="5" t="s">
        <v>107</v>
      </c>
      <c r="E14" s="5" t="s">
        <v>226</v>
      </c>
      <c r="F14" s="23"/>
      <c r="G14" s="11" t="s">
        <v>254</v>
      </c>
      <c r="H14" s="31"/>
      <c r="I14" s="40"/>
      <c r="J14" s="5" t="s">
        <v>125</v>
      </c>
      <c r="K14" s="37"/>
      <c r="L14" s="11"/>
      <c r="M14" s="11"/>
      <c r="N14" s="42" t="s">
        <v>394</v>
      </c>
      <c r="O14" s="47" t="s">
        <v>424</v>
      </c>
    </row>
    <row r="15" spans="1:15" ht="409.6" customHeight="1" thickBot="1" x14ac:dyDescent="0.25">
      <c r="A15" s="5" t="s">
        <v>151</v>
      </c>
      <c r="B15" s="5" t="s">
        <v>14</v>
      </c>
      <c r="C15" s="5" t="s">
        <v>15</v>
      </c>
      <c r="D15" s="5" t="s">
        <v>107</v>
      </c>
      <c r="E15" s="5" t="s">
        <v>226</v>
      </c>
      <c r="F15" s="23"/>
      <c r="G15" s="11" t="s">
        <v>254</v>
      </c>
      <c r="H15" s="31"/>
      <c r="I15" s="40"/>
      <c r="J15" s="5" t="s">
        <v>126</v>
      </c>
      <c r="K15" s="37"/>
      <c r="L15" s="11"/>
      <c r="M15" s="11"/>
      <c r="N15" s="42" t="s">
        <v>395</v>
      </c>
      <c r="O15" s="47" t="s">
        <v>425</v>
      </c>
    </row>
    <row r="16" spans="1:15" ht="409.6" customHeight="1" thickBot="1" x14ac:dyDescent="0.25">
      <c r="A16" s="5" t="s">
        <v>152</v>
      </c>
      <c r="B16" s="5" t="s">
        <v>14</v>
      </c>
      <c r="C16" s="5" t="s">
        <v>15</v>
      </c>
      <c r="D16" s="5" t="s">
        <v>107</v>
      </c>
      <c r="E16" s="5" t="s">
        <v>226</v>
      </c>
      <c r="F16" s="23"/>
      <c r="G16" s="11" t="s">
        <v>254</v>
      </c>
      <c r="H16" s="31"/>
      <c r="I16" s="40"/>
      <c r="J16" s="5" t="s">
        <v>127</v>
      </c>
      <c r="K16" s="37"/>
      <c r="L16" s="11"/>
      <c r="M16" s="11"/>
      <c r="N16" s="42" t="s">
        <v>396</v>
      </c>
      <c r="O16" s="47" t="s">
        <v>426</v>
      </c>
    </row>
    <row r="17" spans="1:15" ht="102.75" thickBot="1" x14ac:dyDescent="0.25">
      <c r="A17" s="5" t="s">
        <v>153</v>
      </c>
      <c r="B17" s="5" t="s">
        <v>14</v>
      </c>
      <c r="C17" s="5" t="s">
        <v>15</v>
      </c>
      <c r="D17" s="5" t="s">
        <v>107</v>
      </c>
      <c r="E17" s="5" t="s">
        <v>226</v>
      </c>
      <c r="F17" s="24"/>
      <c r="G17" s="11" t="s">
        <v>254</v>
      </c>
      <c r="H17" s="32"/>
      <c r="I17" s="41"/>
      <c r="J17" s="5" t="s">
        <v>128</v>
      </c>
      <c r="K17" s="38"/>
      <c r="L17" s="11"/>
      <c r="M17" s="11"/>
      <c r="N17" s="42" t="s">
        <v>397</v>
      </c>
      <c r="O17" s="47" t="s">
        <v>427</v>
      </c>
    </row>
    <row r="18" spans="1:15" ht="45.75" thickBot="1" x14ac:dyDescent="0.25">
      <c r="A18" s="5" t="s">
        <v>93</v>
      </c>
      <c r="B18" s="5" t="s">
        <v>14</v>
      </c>
      <c r="C18" s="5" t="s">
        <v>15</v>
      </c>
      <c r="D18" s="5" t="s">
        <v>16</v>
      </c>
      <c r="E18" s="5" t="s">
        <v>226</v>
      </c>
      <c r="F18" s="6" t="s">
        <v>108</v>
      </c>
      <c r="G18" s="11" t="s">
        <v>254</v>
      </c>
      <c r="H18" s="20" t="s">
        <v>257</v>
      </c>
      <c r="I18" s="11" t="s">
        <v>251</v>
      </c>
      <c r="J18" s="5" t="s">
        <v>129</v>
      </c>
      <c r="K18" s="10">
        <v>20</v>
      </c>
      <c r="L18" s="11"/>
      <c r="M18" s="11"/>
      <c r="N18" s="42" t="s">
        <v>398</v>
      </c>
      <c r="O18" s="43" t="s">
        <v>428</v>
      </c>
    </row>
    <row r="19" spans="1:15" ht="45.75" thickBot="1" x14ac:dyDescent="0.25">
      <c r="A19" s="5" t="s">
        <v>94</v>
      </c>
      <c r="B19" s="5" t="s">
        <v>14</v>
      </c>
      <c r="C19" s="5" t="s">
        <v>15</v>
      </c>
      <c r="D19" s="5" t="s">
        <v>16</v>
      </c>
      <c r="E19" s="5" t="s">
        <v>226</v>
      </c>
      <c r="F19" s="6" t="s">
        <v>109</v>
      </c>
      <c r="G19" s="11" t="s">
        <v>254</v>
      </c>
      <c r="H19" s="20" t="s">
        <v>257</v>
      </c>
      <c r="I19" s="11" t="s">
        <v>251</v>
      </c>
      <c r="J19" s="5" t="s">
        <v>130</v>
      </c>
      <c r="K19" s="10">
        <v>20</v>
      </c>
      <c r="L19" s="11"/>
      <c r="M19" s="11"/>
      <c r="N19" s="42" t="s">
        <v>399</v>
      </c>
      <c r="O19" s="43" t="s">
        <v>428</v>
      </c>
    </row>
    <row r="20" spans="1:15" ht="45.75" thickBot="1" x14ac:dyDescent="0.25">
      <c r="A20" s="5" t="s">
        <v>95</v>
      </c>
      <c r="B20" s="5" t="s">
        <v>14</v>
      </c>
      <c r="C20" s="5" t="s">
        <v>15</v>
      </c>
      <c r="D20" s="5" t="s">
        <v>16</v>
      </c>
      <c r="E20" s="5" t="s">
        <v>226</v>
      </c>
      <c r="F20" s="6" t="s">
        <v>110</v>
      </c>
      <c r="G20" s="11" t="s">
        <v>254</v>
      </c>
      <c r="H20" s="20" t="s">
        <v>257</v>
      </c>
      <c r="I20" s="11" t="s">
        <v>251</v>
      </c>
      <c r="J20" s="5" t="s">
        <v>131</v>
      </c>
      <c r="K20" s="10">
        <v>20</v>
      </c>
      <c r="L20" s="11"/>
      <c r="M20" s="11"/>
      <c r="N20" s="42" t="s">
        <v>400</v>
      </c>
      <c r="O20" s="43" t="s">
        <v>428</v>
      </c>
    </row>
    <row r="21" spans="1:15" ht="45.75" thickBot="1" x14ac:dyDescent="0.25">
      <c r="A21" s="5" t="s">
        <v>96</v>
      </c>
      <c r="B21" s="5" t="s">
        <v>14</v>
      </c>
      <c r="C21" s="5" t="s">
        <v>15</v>
      </c>
      <c r="D21" s="5" t="s">
        <v>16</v>
      </c>
      <c r="E21" s="5" t="s">
        <v>226</v>
      </c>
      <c r="F21" s="6" t="s">
        <v>111</v>
      </c>
      <c r="G21" s="11" t="s">
        <v>254</v>
      </c>
      <c r="H21" s="20" t="s">
        <v>256</v>
      </c>
      <c r="I21" s="11" t="s">
        <v>251</v>
      </c>
      <c r="J21" s="5" t="s">
        <v>132</v>
      </c>
      <c r="K21" s="10">
        <v>20</v>
      </c>
      <c r="L21" s="11"/>
      <c r="M21" s="11"/>
      <c r="N21" s="42" t="s">
        <v>401</v>
      </c>
      <c r="O21" s="43" t="s">
        <v>428</v>
      </c>
    </row>
    <row r="22" spans="1:15" ht="45.75" thickBot="1" x14ac:dyDescent="0.25">
      <c r="A22" s="5" t="s">
        <v>97</v>
      </c>
      <c r="B22" s="5" t="s">
        <v>14</v>
      </c>
      <c r="C22" s="5" t="s">
        <v>15</v>
      </c>
      <c r="D22" s="5" t="s">
        <v>16</v>
      </c>
      <c r="E22" s="5" t="s">
        <v>226</v>
      </c>
      <c r="F22" s="6" t="s">
        <v>112</v>
      </c>
      <c r="G22" s="11" t="s">
        <v>254</v>
      </c>
      <c r="H22" s="20" t="s">
        <v>256</v>
      </c>
      <c r="I22" s="11" t="s">
        <v>251</v>
      </c>
      <c r="J22" s="5" t="s">
        <v>133</v>
      </c>
      <c r="K22" s="10">
        <v>20</v>
      </c>
      <c r="L22" s="11"/>
      <c r="M22" s="11"/>
      <c r="N22" s="42" t="s">
        <v>402</v>
      </c>
      <c r="O22" s="43" t="s">
        <v>428</v>
      </c>
    </row>
    <row r="23" spans="1:15" ht="45.75" thickBot="1" x14ac:dyDescent="0.25">
      <c r="A23" s="5" t="s">
        <v>98</v>
      </c>
      <c r="B23" s="5" t="s">
        <v>14</v>
      </c>
      <c r="C23" s="5" t="s">
        <v>15</v>
      </c>
      <c r="D23" s="5" t="s">
        <v>16</v>
      </c>
      <c r="E23" s="5" t="s">
        <v>226</v>
      </c>
      <c r="F23" s="6" t="s">
        <v>113</v>
      </c>
      <c r="G23" s="11" t="s">
        <v>254</v>
      </c>
      <c r="H23" s="20" t="s">
        <v>256</v>
      </c>
      <c r="I23" s="11" t="s">
        <v>251</v>
      </c>
      <c r="J23" s="5" t="s">
        <v>134</v>
      </c>
      <c r="K23" s="10">
        <v>20</v>
      </c>
      <c r="L23" s="11"/>
      <c r="M23" s="11"/>
      <c r="N23" s="42" t="s">
        <v>403</v>
      </c>
      <c r="O23" s="43" t="s">
        <v>428</v>
      </c>
    </row>
    <row r="24" spans="1:15" ht="45.75" thickBot="1" x14ac:dyDescent="0.25">
      <c r="A24" s="5" t="s">
        <v>99</v>
      </c>
      <c r="B24" s="5" t="s">
        <v>14</v>
      </c>
      <c r="C24" s="5" t="s">
        <v>15</v>
      </c>
      <c r="D24" s="5" t="s">
        <v>16</v>
      </c>
      <c r="E24" s="5" t="s">
        <v>226</v>
      </c>
      <c r="F24" s="6" t="s">
        <v>114</v>
      </c>
      <c r="G24" s="11" t="s">
        <v>254</v>
      </c>
      <c r="H24" s="20" t="s">
        <v>256</v>
      </c>
      <c r="I24" s="11" t="s">
        <v>251</v>
      </c>
      <c r="J24" s="5" t="s">
        <v>135</v>
      </c>
      <c r="K24" s="10">
        <v>20</v>
      </c>
      <c r="L24" s="11"/>
      <c r="M24" s="11"/>
      <c r="N24" s="42" t="s">
        <v>404</v>
      </c>
      <c r="O24" s="43" t="s">
        <v>428</v>
      </c>
    </row>
    <row r="25" spans="1:15" ht="45.75" thickBot="1" x14ac:dyDescent="0.25">
      <c r="A25" s="5" t="s">
        <v>100</v>
      </c>
      <c r="B25" s="5" t="s">
        <v>14</v>
      </c>
      <c r="C25" s="5" t="s">
        <v>15</v>
      </c>
      <c r="D25" s="5" t="s">
        <v>16</v>
      </c>
      <c r="E25" s="5" t="s">
        <v>226</v>
      </c>
      <c r="F25" s="6" t="s">
        <v>115</v>
      </c>
      <c r="G25" s="11" t="s">
        <v>254</v>
      </c>
      <c r="H25" s="20" t="s">
        <v>256</v>
      </c>
      <c r="I25" s="11" t="s">
        <v>251</v>
      </c>
      <c r="J25" s="5" t="s">
        <v>136</v>
      </c>
      <c r="K25" s="10">
        <v>20</v>
      </c>
      <c r="L25" s="11"/>
      <c r="M25" s="11"/>
      <c r="N25" s="42" t="s">
        <v>405</v>
      </c>
      <c r="O25" s="43" t="s">
        <v>428</v>
      </c>
    </row>
    <row r="26" spans="1:15" ht="45.75" thickBot="1" x14ac:dyDescent="0.25">
      <c r="A26" s="5" t="s">
        <v>101</v>
      </c>
      <c r="B26" s="5" t="s">
        <v>14</v>
      </c>
      <c r="C26" s="5" t="s">
        <v>15</v>
      </c>
      <c r="D26" s="5" t="s">
        <v>16</v>
      </c>
      <c r="E26" s="5" t="s">
        <v>226</v>
      </c>
      <c r="F26" s="6" t="s">
        <v>116</v>
      </c>
      <c r="G26" s="11" t="s">
        <v>254</v>
      </c>
      <c r="H26" s="20" t="s">
        <v>256</v>
      </c>
      <c r="I26" s="11" t="s">
        <v>251</v>
      </c>
      <c r="J26" s="5" t="s">
        <v>137</v>
      </c>
      <c r="K26" s="10">
        <v>20</v>
      </c>
      <c r="L26" s="11"/>
      <c r="M26" s="11"/>
      <c r="N26" s="42" t="s">
        <v>406</v>
      </c>
      <c r="O26" s="43" t="s">
        <v>428</v>
      </c>
    </row>
    <row r="27" spans="1:15" ht="45.75" thickBot="1" x14ac:dyDescent="0.25">
      <c r="A27" s="5" t="s">
        <v>102</v>
      </c>
      <c r="B27" s="5" t="s">
        <v>14</v>
      </c>
      <c r="C27" s="5" t="s">
        <v>15</v>
      </c>
      <c r="D27" s="5" t="s">
        <v>16</v>
      </c>
      <c r="E27" s="5" t="s">
        <v>226</v>
      </c>
      <c r="F27" s="6" t="s">
        <v>344</v>
      </c>
      <c r="G27" s="11" t="s">
        <v>254</v>
      </c>
      <c r="H27" s="20" t="s">
        <v>256</v>
      </c>
      <c r="I27" s="11" t="s">
        <v>251</v>
      </c>
      <c r="J27" s="5" t="s">
        <v>138</v>
      </c>
      <c r="K27" s="10">
        <v>20</v>
      </c>
      <c r="L27" s="11"/>
      <c r="M27" s="11"/>
      <c r="N27" s="42" t="s">
        <v>407</v>
      </c>
      <c r="O27" s="43" t="s">
        <v>428</v>
      </c>
    </row>
    <row r="28" spans="1:15" ht="45.75" thickBot="1" x14ac:dyDescent="0.25">
      <c r="A28" s="17" t="s">
        <v>35</v>
      </c>
      <c r="B28" s="5" t="s">
        <v>14</v>
      </c>
      <c r="C28" s="5" t="s">
        <v>15</v>
      </c>
      <c r="D28" s="5" t="s">
        <v>16</v>
      </c>
      <c r="E28" s="5" t="s">
        <v>226</v>
      </c>
      <c r="F28" s="6" t="s">
        <v>353</v>
      </c>
      <c r="G28" s="11" t="s">
        <v>254</v>
      </c>
      <c r="H28" s="20" t="s">
        <v>258</v>
      </c>
      <c r="I28" s="11" t="s">
        <v>251</v>
      </c>
      <c r="J28" s="5" t="s">
        <v>139</v>
      </c>
      <c r="K28" s="10">
        <v>20</v>
      </c>
      <c r="L28" s="11"/>
      <c r="M28" s="11"/>
      <c r="N28" s="42" t="s">
        <v>408</v>
      </c>
      <c r="O28" s="43" t="s">
        <v>377</v>
      </c>
    </row>
    <row r="29" spans="1:15" ht="45.75" thickBot="1" x14ac:dyDescent="0.25">
      <c r="A29" s="17" t="s">
        <v>103</v>
      </c>
      <c r="B29" s="5" t="s">
        <v>14</v>
      </c>
      <c r="C29" s="5" t="s">
        <v>15</v>
      </c>
      <c r="D29" s="5" t="s">
        <v>16</v>
      </c>
      <c r="E29" s="5" t="s">
        <v>226</v>
      </c>
      <c r="F29" s="6" t="s">
        <v>352</v>
      </c>
      <c r="G29" s="11" t="s">
        <v>254</v>
      </c>
      <c r="H29" s="20" t="s">
        <v>258</v>
      </c>
      <c r="I29" s="11" t="s">
        <v>251</v>
      </c>
      <c r="J29" s="5" t="s">
        <v>140</v>
      </c>
      <c r="K29" s="10">
        <v>20</v>
      </c>
      <c r="L29" s="11"/>
      <c r="M29" s="11"/>
      <c r="N29" s="42" t="s">
        <v>380</v>
      </c>
      <c r="O29" s="43" t="s">
        <v>381</v>
      </c>
    </row>
    <row r="30" spans="1:15" ht="345" x14ac:dyDescent="0.25">
      <c r="A30" s="17" t="s">
        <v>13</v>
      </c>
      <c r="B30" s="5" t="s">
        <v>14</v>
      </c>
      <c r="C30" s="5" t="s">
        <v>15</v>
      </c>
      <c r="D30" s="5" t="s">
        <v>16</v>
      </c>
      <c r="E30" s="5" t="s">
        <v>226</v>
      </c>
      <c r="F30" s="6" t="s">
        <v>331</v>
      </c>
      <c r="G30" s="11" t="s">
        <v>254</v>
      </c>
      <c r="H30" s="20" t="s">
        <v>258</v>
      </c>
      <c r="I30" s="11" t="s">
        <v>251</v>
      </c>
      <c r="J30" s="5" t="s">
        <v>141</v>
      </c>
      <c r="K30" s="10">
        <v>120</v>
      </c>
      <c r="L30" s="11"/>
      <c r="M30" s="11"/>
      <c r="N30" s="46" t="s">
        <v>411</v>
      </c>
      <c r="O30" s="46" t="s">
        <v>413</v>
      </c>
    </row>
    <row r="31" spans="1:15" ht="45" x14ac:dyDescent="0.25">
      <c r="A31" s="5" t="s">
        <v>104</v>
      </c>
      <c r="B31" s="5" t="s">
        <v>14</v>
      </c>
      <c r="C31" s="17" t="s">
        <v>15</v>
      </c>
      <c r="D31" s="5" t="s">
        <v>290</v>
      </c>
      <c r="E31" s="5" t="s">
        <v>226</v>
      </c>
      <c r="F31" s="10" t="s">
        <v>248</v>
      </c>
      <c r="G31" s="11" t="s">
        <v>254</v>
      </c>
      <c r="H31" s="20" t="s">
        <v>259</v>
      </c>
      <c r="I31" s="11" t="s">
        <v>251</v>
      </c>
      <c r="J31" s="5"/>
      <c r="K31" s="10">
        <v>30</v>
      </c>
      <c r="L31" s="11"/>
      <c r="M31" s="11"/>
      <c r="N31" s="45" t="s">
        <v>386</v>
      </c>
    </row>
    <row r="32" spans="1:15" ht="60" x14ac:dyDescent="0.25">
      <c r="A32" s="5" t="s">
        <v>105</v>
      </c>
      <c r="B32" s="5" t="s">
        <v>14</v>
      </c>
      <c r="C32" s="5" t="s">
        <v>15</v>
      </c>
      <c r="D32" s="5" t="s">
        <v>16</v>
      </c>
      <c r="E32" s="5" t="s">
        <v>226</v>
      </c>
      <c r="F32" s="6" t="s">
        <v>412</v>
      </c>
      <c r="G32" s="11" t="s">
        <v>254</v>
      </c>
      <c r="H32" s="20" t="s">
        <v>258</v>
      </c>
      <c r="I32" s="11" t="s">
        <v>251</v>
      </c>
      <c r="J32" s="5"/>
      <c r="K32" s="10">
        <v>20</v>
      </c>
      <c r="L32" s="11"/>
      <c r="M32" s="11"/>
      <c r="N32" s="46" t="s">
        <v>414</v>
      </c>
      <c r="O32" s="2" t="s">
        <v>415</v>
      </c>
    </row>
    <row r="33" spans="1:15" ht="75" x14ac:dyDescent="0.25">
      <c r="A33" s="5" t="s">
        <v>106</v>
      </c>
      <c r="B33" s="5" t="s">
        <v>14</v>
      </c>
      <c r="C33" s="5" t="s">
        <v>15</v>
      </c>
      <c r="D33" s="5" t="s">
        <v>16</v>
      </c>
      <c r="E33" s="5" t="s">
        <v>226</v>
      </c>
      <c r="F33" s="6" t="s">
        <v>332</v>
      </c>
      <c r="G33" s="11" t="s">
        <v>254</v>
      </c>
      <c r="H33" s="20" t="s">
        <v>258</v>
      </c>
      <c r="I33" s="11" t="s">
        <v>251</v>
      </c>
      <c r="J33" s="5"/>
      <c r="K33" s="10">
        <v>20</v>
      </c>
      <c r="L33" s="11"/>
      <c r="M33" s="11"/>
      <c r="N33" s="46" t="s">
        <v>409</v>
      </c>
      <c r="O33" s="46" t="s">
        <v>410</v>
      </c>
    </row>
  </sheetData>
  <mergeCells count="4">
    <mergeCell ref="F6:F17"/>
    <mergeCell ref="K6:K17"/>
    <mergeCell ref="H6:H17"/>
    <mergeCell ref="I6:I17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29" sqref="C29"/>
    </sheetView>
  </sheetViews>
  <sheetFormatPr defaultRowHeight="15.75" x14ac:dyDescent="0.25"/>
  <cols>
    <col min="2" max="2" width="38.42578125" customWidth="1"/>
    <col min="3" max="3" width="22.28515625" customWidth="1"/>
  </cols>
  <sheetData>
    <row r="1" spans="1:3" ht="18.75" x14ac:dyDescent="0.3">
      <c r="A1" s="1" t="s">
        <v>66</v>
      </c>
      <c r="B1" s="1"/>
      <c r="C1" s="1"/>
    </row>
    <row r="2" spans="1:3" x14ac:dyDescent="0.25">
      <c r="A2" s="3" t="s">
        <v>67</v>
      </c>
      <c r="B2" s="3"/>
      <c r="C2" s="16">
        <f>COUNTIF(C4:C90,"y")/COUNTA(A4:A90)</f>
        <v>1</v>
      </c>
    </row>
    <row r="3" spans="1:3" x14ac:dyDescent="0.25">
      <c r="A3" s="13" t="s">
        <v>68</v>
      </c>
      <c r="B3" s="13" t="s">
        <v>69</v>
      </c>
      <c r="C3" s="13" t="s">
        <v>70</v>
      </c>
    </row>
    <row r="4" spans="1:3" x14ac:dyDescent="0.25">
      <c r="A4" s="14">
        <v>1</v>
      </c>
      <c r="B4" s="11" t="str">
        <f>FT_TestCoverageMatrix_PDB!A6</f>
        <v>Fan test 1</v>
      </c>
      <c r="C4" s="15" t="s">
        <v>154</v>
      </c>
    </row>
    <row r="5" spans="1:3" x14ac:dyDescent="0.25">
      <c r="A5" s="14">
        <v>2</v>
      </c>
      <c r="B5" s="11" t="str">
        <f>FT_TestCoverageMatrix_PDB!A7</f>
        <v>Fan test 2</v>
      </c>
      <c r="C5" s="15" t="s">
        <v>154</v>
      </c>
    </row>
    <row r="6" spans="1:3" x14ac:dyDescent="0.25">
      <c r="A6" s="14">
        <v>3</v>
      </c>
      <c r="B6" s="11" t="str">
        <f>FT_TestCoverageMatrix_PDB!A8</f>
        <v>Fan test 3</v>
      </c>
      <c r="C6" s="15" t="s">
        <v>154</v>
      </c>
    </row>
    <row r="7" spans="1:3" x14ac:dyDescent="0.25">
      <c r="A7" s="14">
        <v>4</v>
      </c>
      <c r="B7" s="11" t="str">
        <f>FT_TestCoverageMatrix_PDB!A9</f>
        <v>Fan test 4</v>
      </c>
      <c r="C7" s="15" t="s">
        <v>154</v>
      </c>
    </row>
    <row r="8" spans="1:3" x14ac:dyDescent="0.25">
      <c r="A8" s="14">
        <v>5</v>
      </c>
      <c r="B8" s="11" t="str">
        <f>FT_TestCoverageMatrix_PDB!A10</f>
        <v>Fan test 5</v>
      </c>
      <c r="C8" s="15" t="s">
        <v>154</v>
      </c>
    </row>
    <row r="9" spans="1:3" x14ac:dyDescent="0.25">
      <c r="A9" s="14">
        <v>6</v>
      </c>
      <c r="B9" s="11" t="str">
        <f>FT_TestCoverageMatrix_PDB!A11</f>
        <v>Fan test 6</v>
      </c>
      <c r="C9" s="15" t="s">
        <v>154</v>
      </c>
    </row>
    <row r="10" spans="1:3" x14ac:dyDescent="0.25">
      <c r="A10" s="14">
        <v>7</v>
      </c>
      <c r="B10" s="11" t="str">
        <f>FT_TestCoverageMatrix_PDB!A12</f>
        <v>Fan test 7</v>
      </c>
      <c r="C10" s="15" t="s">
        <v>154</v>
      </c>
    </row>
    <row r="11" spans="1:3" x14ac:dyDescent="0.25">
      <c r="A11" s="14">
        <v>8</v>
      </c>
      <c r="B11" s="11" t="str">
        <f>FT_TestCoverageMatrix_PDB!A13</f>
        <v>Fan test 8</v>
      </c>
      <c r="C11" s="15" t="s">
        <v>154</v>
      </c>
    </row>
    <row r="12" spans="1:3" x14ac:dyDescent="0.25">
      <c r="A12" s="14">
        <v>9</v>
      </c>
      <c r="B12" s="11" t="str">
        <f>FT_TestCoverageMatrix_PDB!A14</f>
        <v>Fan test 9</v>
      </c>
      <c r="C12" s="15" t="s">
        <v>154</v>
      </c>
    </row>
    <row r="13" spans="1:3" x14ac:dyDescent="0.25">
      <c r="A13" s="14">
        <v>10</v>
      </c>
      <c r="B13" s="11" t="str">
        <f>FT_TestCoverageMatrix_PDB!A15</f>
        <v>Fan test 10</v>
      </c>
      <c r="C13" s="15" t="s">
        <v>154</v>
      </c>
    </row>
    <row r="14" spans="1:3" x14ac:dyDescent="0.25">
      <c r="A14" s="14">
        <v>11</v>
      </c>
      <c r="B14" s="11" t="str">
        <f>FT_TestCoverageMatrix_PDB!A16</f>
        <v>Fan test 11</v>
      </c>
      <c r="C14" s="15" t="s">
        <v>154</v>
      </c>
    </row>
    <row r="15" spans="1:3" x14ac:dyDescent="0.25">
      <c r="A15" s="14">
        <v>12</v>
      </c>
      <c r="B15" s="11" t="str">
        <f>FT_TestCoverageMatrix_PDB!A17</f>
        <v>Fan test 12</v>
      </c>
      <c r="C15" s="15" t="s">
        <v>154</v>
      </c>
    </row>
    <row r="16" spans="1:3" x14ac:dyDescent="0.25">
      <c r="A16" s="14">
        <v>13</v>
      </c>
      <c r="B16" s="11" t="str">
        <f>FT_TestCoverageMatrix_PDB!A18</f>
        <v>LM25066(10h)</v>
      </c>
      <c r="C16" s="15" t="s">
        <v>154</v>
      </c>
    </row>
    <row r="17" spans="1:3" x14ac:dyDescent="0.25">
      <c r="A17" s="14">
        <v>14</v>
      </c>
      <c r="B17" s="11" t="str">
        <f>FT_TestCoverageMatrix_PDB!A19</f>
        <v>LM25066(11h)</v>
      </c>
      <c r="C17" s="15" t="s">
        <v>154</v>
      </c>
    </row>
    <row r="18" spans="1:3" x14ac:dyDescent="0.25">
      <c r="A18" s="14">
        <v>15</v>
      </c>
      <c r="B18" s="11" t="str">
        <f>FT_TestCoverageMatrix_PDB!A20</f>
        <v>LM25066(40h)</v>
      </c>
      <c r="C18" s="15" t="s">
        <v>154</v>
      </c>
    </row>
    <row r="19" spans="1:3" x14ac:dyDescent="0.25">
      <c r="A19" s="14">
        <v>16</v>
      </c>
      <c r="B19" s="11" t="str">
        <f>FT_TestCoverageMatrix_PDB!A21</f>
        <v>LM25066(41h)</v>
      </c>
      <c r="C19" s="15" t="s">
        <v>154</v>
      </c>
    </row>
    <row r="20" spans="1:3" x14ac:dyDescent="0.25">
      <c r="A20" s="14">
        <v>17</v>
      </c>
      <c r="B20" s="11" t="str">
        <f>FT_TestCoverageMatrix_PDB!A22</f>
        <v>LM25066(42h)</v>
      </c>
      <c r="C20" s="15" t="s">
        <v>154</v>
      </c>
    </row>
    <row r="21" spans="1:3" x14ac:dyDescent="0.25">
      <c r="A21" s="14">
        <v>18</v>
      </c>
      <c r="B21" s="11" t="str">
        <f>FT_TestCoverageMatrix_PDB!A23</f>
        <v>LM25066(43h)</v>
      </c>
      <c r="C21" s="15" t="s">
        <v>154</v>
      </c>
    </row>
    <row r="22" spans="1:3" x14ac:dyDescent="0.25">
      <c r="A22" s="14">
        <v>19</v>
      </c>
      <c r="B22" s="11" t="str">
        <f>FT_TestCoverageMatrix_PDB!A24</f>
        <v>LM25066(44h)</v>
      </c>
      <c r="C22" s="15" t="s">
        <v>154</v>
      </c>
    </row>
    <row r="23" spans="1:3" x14ac:dyDescent="0.25">
      <c r="A23" s="14">
        <v>20</v>
      </c>
      <c r="B23" s="11" t="str">
        <f>FT_TestCoverageMatrix_PDB!A25</f>
        <v>LM25066(45h)</v>
      </c>
      <c r="C23" s="15" t="s">
        <v>154</v>
      </c>
    </row>
    <row r="24" spans="1:3" x14ac:dyDescent="0.25">
      <c r="A24" s="14">
        <v>21</v>
      </c>
      <c r="B24" s="11" t="str">
        <f>FT_TestCoverageMatrix_PDB!A26</f>
        <v>LM25066(46h)</v>
      </c>
      <c r="C24" s="15" t="s">
        <v>154</v>
      </c>
    </row>
    <row r="25" spans="1:3" x14ac:dyDescent="0.25">
      <c r="A25" s="14">
        <v>22</v>
      </c>
      <c r="B25" s="11" t="str">
        <f>FT_TestCoverageMatrix_PDB!A27</f>
        <v>LM25066(47h)</v>
      </c>
      <c r="C25" s="15" t="s">
        <v>154</v>
      </c>
    </row>
    <row r="26" spans="1:3" x14ac:dyDescent="0.25">
      <c r="A26" s="14">
        <v>23</v>
      </c>
      <c r="B26" s="11" t="str">
        <f>FT_TestCoverageMatrix_PDB!A28</f>
        <v>AT24C32</v>
      </c>
      <c r="C26" s="15" t="s">
        <v>154</v>
      </c>
    </row>
    <row r="27" spans="1:3" x14ac:dyDescent="0.25">
      <c r="A27" s="14">
        <v>24</v>
      </c>
      <c r="B27" s="11" t="str">
        <f>FT_TestCoverageMatrix_PDB!A29</f>
        <v>PCA9539</v>
      </c>
      <c r="C27" s="15" t="s">
        <v>154</v>
      </c>
    </row>
    <row r="28" spans="1:3" x14ac:dyDescent="0.25">
      <c r="A28" s="14">
        <v>25</v>
      </c>
      <c r="B28" s="11" t="str">
        <f>FT_TestCoverageMatrix_PDB!A30</f>
        <v>PCA9548</v>
      </c>
      <c r="C28" s="15" t="s">
        <v>154</v>
      </c>
    </row>
    <row r="29" spans="1:3" x14ac:dyDescent="0.25">
      <c r="A29" s="14">
        <v>26</v>
      </c>
      <c r="B29" s="11" t="str">
        <f>FT_TestCoverageMatrix_PDB!A31</f>
        <v>PDB FRU Flash</v>
      </c>
      <c r="C29" s="15" t="s">
        <v>91</v>
      </c>
    </row>
    <row r="30" spans="1:3" x14ac:dyDescent="0.25">
      <c r="A30" s="14">
        <v>27</v>
      </c>
      <c r="B30" s="11" t="str">
        <f>FT_TestCoverageMatrix_PDB!A32</f>
        <v>PCA9539 GPIO to LM25066</v>
      </c>
      <c r="C30" s="15" t="s">
        <v>154</v>
      </c>
    </row>
    <row r="31" spans="1:3" x14ac:dyDescent="0.25">
      <c r="A31" s="14">
        <v>28</v>
      </c>
      <c r="B31" s="11" t="str">
        <f>FT_TestCoverageMatrix_PDB!A33</f>
        <v>PSU_Power_Good</v>
      </c>
      <c r="C31" s="15" t="s">
        <v>154</v>
      </c>
    </row>
    <row r="32" spans="1:3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D1" zoomScale="85" zoomScaleNormal="85" workbookViewId="0">
      <selection activeCell="N5" sqref="N5:O5"/>
    </sheetView>
  </sheetViews>
  <sheetFormatPr defaultColWidth="9.140625" defaultRowHeight="15" x14ac:dyDescent="0.25"/>
  <cols>
    <col min="1" max="1" width="38.42578125" style="2" customWidth="1"/>
    <col min="2" max="2" width="11" style="2" customWidth="1"/>
    <col min="3" max="3" width="21" style="2" customWidth="1"/>
    <col min="4" max="4" width="24.28515625" style="2" customWidth="1"/>
    <col min="5" max="5" width="21.42578125" style="2" bestFit="1" customWidth="1"/>
    <col min="6" max="6" width="55.42578125" style="2" bestFit="1" customWidth="1"/>
    <col min="7" max="7" width="26.42578125" style="2" customWidth="1"/>
    <col min="8" max="8" width="22.85546875" style="2" bestFit="1" customWidth="1"/>
    <col min="9" max="9" width="29.42578125" style="2" customWidth="1"/>
    <col min="10" max="10" width="29.5703125" style="2" customWidth="1"/>
    <col min="11" max="11" width="10.28515625" style="2" customWidth="1"/>
    <col min="12" max="12" width="18.42578125" style="2" customWidth="1"/>
    <col min="13" max="13" width="19.5703125" style="2" customWidth="1"/>
    <col min="14" max="14" width="25.42578125" style="2" customWidth="1"/>
    <col min="15" max="15" width="23" style="2" customWidth="1"/>
    <col min="16" max="16384" width="9.140625" style="2"/>
  </cols>
  <sheetData>
    <row r="1" spans="1:15" ht="18.75" x14ac:dyDescent="0.3">
      <c r="A1" s="1" t="s">
        <v>0</v>
      </c>
    </row>
    <row r="2" spans="1:15" x14ac:dyDescent="0.25">
      <c r="A2" s="3" t="s">
        <v>1</v>
      </c>
      <c r="B2" s="2" t="s">
        <v>162</v>
      </c>
    </row>
    <row r="3" spans="1:15" x14ac:dyDescent="0.25">
      <c r="A3" s="3" t="s">
        <v>2</v>
      </c>
      <c r="B3" s="2" t="s">
        <v>311</v>
      </c>
    </row>
    <row r="5" spans="1:15" s="4" customFormat="1" ht="49.5" customHeight="1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71</v>
      </c>
      <c r="K5" s="12" t="s">
        <v>72</v>
      </c>
      <c r="L5" s="12" t="s">
        <v>73</v>
      </c>
      <c r="M5" s="12" t="s">
        <v>74</v>
      </c>
      <c r="N5" s="12" t="s">
        <v>385</v>
      </c>
      <c r="O5" s="12" t="s">
        <v>384</v>
      </c>
    </row>
    <row r="6" spans="1:15" ht="60" x14ac:dyDescent="0.25">
      <c r="A6" s="5" t="s">
        <v>155</v>
      </c>
      <c r="B6" s="5" t="s">
        <v>14</v>
      </c>
      <c r="C6" s="5" t="s">
        <v>165</v>
      </c>
      <c r="D6" s="5" t="s">
        <v>227</v>
      </c>
      <c r="E6" s="5" t="s">
        <v>228</v>
      </c>
      <c r="F6" s="6" t="s">
        <v>168</v>
      </c>
      <c r="G6" s="5" t="s">
        <v>171</v>
      </c>
      <c r="H6" s="20" t="s">
        <v>260</v>
      </c>
      <c r="I6" s="11" t="s">
        <v>261</v>
      </c>
      <c r="J6" s="5"/>
      <c r="K6" s="10">
        <v>30</v>
      </c>
      <c r="L6" s="11"/>
      <c r="M6" s="11"/>
    </row>
    <row r="7" spans="1:15" ht="75" x14ac:dyDescent="0.25">
      <c r="A7" s="5" t="s">
        <v>156</v>
      </c>
      <c r="B7" s="5" t="s">
        <v>14</v>
      </c>
      <c r="C7" s="5" t="s">
        <v>165</v>
      </c>
      <c r="D7" s="5" t="s">
        <v>166</v>
      </c>
      <c r="E7" s="5" t="s">
        <v>228</v>
      </c>
      <c r="F7" s="6" t="s">
        <v>169</v>
      </c>
      <c r="G7" s="5" t="s">
        <v>171</v>
      </c>
      <c r="H7" s="20" t="s">
        <v>260</v>
      </c>
      <c r="I7" s="11" t="s">
        <v>262</v>
      </c>
      <c r="J7" s="5"/>
      <c r="K7" s="10">
        <v>30</v>
      </c>
      <c r="L7" s="11"/>
      <c r="M7" s="11"/>
    </row>
    <row r="8" spans="1:15" ht="45.75" thickBot="1" x14ac:dyDescent="0.3">
      <c r="A8" s="5" t="s">
        <v>157</v>
      </c>
      <c r="B8" s="5" t="s">
        <v>14</v>
      </c>
      <c r="C8" s="5" t="s">
        <v>15</v>
      </c>
      <c r="D8" s="5" t="s">
        <v>167</v>
      </c>
      <c r="E8" s="5" t="s">
        <v>226</v>
      </c>
      <c r="F8" s="6" t="s">
        <v>333</v>
      </c>
      <c r="G8" s="5" t="s">
        <v>171</v>
      </c>
      <c r="H8" s="11" t="s">
        <v>263</v>
      </c>
      <c r="I8" s="11" t="s">
        <v>262</v>
      </c>
      <c r="J8" s="5"/>
      <c r="K8" s="10">
        <v>30</v>
      </c>
      <c r="L8" s="11"/>
      <c r="M8" s="11"/>
      <c r="N8" s="45" t="s">
        <v>429</v>
      </c>
    </row>
    <row r="9" spans="1:15" ht="165.75" thickBot="1" x14ac:dyDescent="0.25">
      <c r="A9" s="5" t="s">
        <v>158</v>
      </c>
      <c r="B9" s="5" t="s">
        <v>14</v>
      </c>
      <c r="C9" s="5" t="s">
        <v>15</v>
      </c>
      <c r="D9" s="5" t="s">
        <v>107</v>
      </c>
      <c r="E9" s="5" t="s">
        <v>226</v>
      </c>
      <c r="F9" s="6" t="s">
        <v>334</v>
      </c>
      <c r="G9" s="5" t="s">
        <v>172</v>
      </c>
      <c r="H9" s="20" t="s">
        <v>264</v>
      </c>
      <c r="I9" s="11" t="s">
        <v>251</v>
      </c>
      <c r="J9" s="5"/>
      <c r="K9" s="10">
        <v>30</v>
      </c>
      <c r="L9" s="11"/>
      <c r="M9" s="11"/>
      <c r="N9" s="42" t="s">
        <v>430</v>
      </c>
      <c r="O9" s="47" t="s">
        <v>431</v>
      </c>
    </row>
    <row r="10" spans="1:15" ht="165.75" thickBot="1" x14ac:dyDescent="0.25">
      <c r="A10" s="5" t="s">
        <v>159</v>
      </c>
      <c r="B10" s="5" t="s">
        <v>14</v>
      </c>
      <c r="C10" s="5" t="s">
        <v>15</v>
      </c>
      <c r="D10" s="5" t="s">
        <v>107</v>
      </c>
      <c r="E10" s="5" t="s">
        <v>226</v>
      </c>
      <c r="F10" s="6" t="s">
        <v>170</v>
      </c>
      <c r="G10" s="5" t="s">
        <v>172</v>
      </c>
      <c r="H10" s="20" t="s">
        <v>264</v>
      </c>
      <c r="I10" s="11" t="s">
        <v>251</v>
      </c>
      <c r="J10" s="5"/>
      <c r="K10" s="10">
        <v>30</v>
      </c>
      <c r="L10" s="11"/>
      <c r="M10" s="11"/>
      <c r="N10" s="42" t="s">
        <v>432</v>
      </c>
      <c r="O10" s="47" t="s">
        <v>433</v>
      </c>
    </row>
    <row r="11" spans="1:15" ht="45.75" thickBot="1" x14ac:dyDescent="0.25">
      <c r="A11" s="5" t="s">
        <v>160</v>
      </c>
      <c r="B11" s="5" t="s">
        <v>14</v>
      </c>
      <c r="C11" s="5" t="s">
        <v>15</v>
      </c>
      <c r="D11" s="5" t="s">
        <v>16</v>
      </c>
      <c r="E11" s="5" t="s">
        <v>226</v>
      </c>
      <c r="F11" s="6" t="s">
        <v>338</v>
      </c>
      <c r="G11" s="5" t="s">
        <v>172</v>
      </c>
      <c r="H11" s="20" t="s">
        <v>265</v>
      </c>
      <c r="I11" s="11" t="s">
        <v>251</v>
      </c>
      <c r="J11" s="5" t="s">
        <v>163</v>
      </c>
      <c r="K11" s="10">
        <v>10</v>
      </c>
      <c r="L11" s="11"/>
      <c r="M11" s="11"/>
      <c r="N11" s="42" t="s">
        <v>434</v>
      </c>
      <c r="O11" s="43" t="s">
        <v>435</v>
      </c>
    </row>
    <row r="12" spans="1:15" ht="45.75" thickBot="1" x14ac:dyDescent="0.25">
      <c r="A12" s="5" t="s">
        <v>160</v>
      </c>
      <c r="B12" s="5" t="s">
        <v>14</v>
      </c>
      <c r="C12" s="5" t="s">
        <v>15</v>
      </c>
      <c r="D12" s="5" t="s">
        <v>16</v>
      </c>
      <c r="E12" s="5" t="s">
        <v>226</v>
      </c>
      <c r="F12" s="6" t="s">
        <v>345</v>
      </c>
      <c r="G12" s="5" t="s">
        <v>172</v>
      </c>
      <c r="H12" s="20" t="s">
        <v>265</v>
      </c>
      <c r="I12" s="11" t="s">
        <v>251</v>
      </c>
      <c r="J12" s="5" t="s">
        <v>164</v>
      </c>
      <c r="K12" s="10">
        <v>10</v>
      </c>
      <c r="L12" s="11"/>
      <c r="M12" s="11"/>
      <c r="N12" s="42" t="s">
        <v>436</v>
      </c>
      <c r="O12" s="43" t="s">
        <v>437</v>
      </c>
    </row>
    <row r="13" spans="1:15" ht="165.75" thickBot="1" x14ac:dyDescent="0.25">
      <c r="A13" s="5" t="s">
        <v>161</v>
      </c>
      <c r="B13" s="5" t="s">
        <v>14</v>
      </c>
      <c r="C13" s="5" t="s">
        <v>15</v>
      </c>
      <c r="D13" s="5" t="s">
        <v>107</v>
      </c>
      <c r="E13" s="5" t="s">
        <v>226</v>
      </c>
      <c r="F13" s="6" t="s">
        <v>343</v>
      </c>
      <c r="G13" s="5" t="s">
        <v>172</v>
      </c>
      <c r="H13" s="20" t="s">
        <v>264</v>
      </c>
      <c r="I13" s="11" t="s">
        <v>251</v>
      </c>
      <c r="J13" s="5"/>
      <c r="K13" s="10">
        <v>30</v>
      </c>
      <c r="L13" s="11"/>
      <c r="M13" s="11"/>
      <c r="N13" s="42" t="s">
        <v>438</v>
      </c>
      <c r="O13" s="43" t="s">
        <v>439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9" sqref="B9:C10"/>
    </sheetView>
  </sheetViews>
  <sheetFormatPr defaultRowHeight="15.75" x14ac:dyDescent="0.25"/>
  <cols>
    <col min="2" max="2" width="38.42578125" customWidth="1"/>
    <col min="3" max="3" width="22.28515625" customWidth="1"/>
  </cols>
  <sheetData>
    <row r="1" spans="1:3" ht="18.75" x14ac:dyDescent="0.3">
      <c r="A1" s="1" t="s">
        <v>66</v>
      </c>
      <c r="B1" s="1"/>
      <c r="C1" s="1"/>
    </row>
    <row r="2" spans="1:3" x14ac:dyDescent="0.25">
      <c r="A2" s="3" t="s">
        <v>67</v>
      </c>
      <c r="B2" s="3"/>
      <c r="C2" s="16">
        <f>COUNTIF(C4:C69,"y")/COUNTA(A4:A69)</f>
        <v>1</v>
      </c>
    </row>
    <row r="3" spans="1:3" x14ac:dyDescent="0.25">
      <c r="A3" s="13" t="s">
        <v>68</v>
      </c>
      <c r="B3" s="13" t="s">
        <v>69</v>
      </c>
      <c r="C3" s="13" t="s">
        <v>70</v>
      </c>
    </row>
    <row r="4" spans="1:3" x14ac:dyDescent="0.25">
      <c r="A4" s="14">
        <v>1</v>
      </c>
      <c r="B4" s="11" t="str">
        <f>FT_TestCoverageMatrix_FIO!A6</f>
        <v>FIO_RM_Throttle</v>
      </c>
      <c r="C4" s="15" t="s">
        <v>154</v>
      </c>
    </row>
    <row r="5" spans="1:3" x14ac:dyDescent="0.25">
      <c r="A5" s="14">
        <v>2</v>
      </c>
      <c r="B5" s="11" t="str">
        <f>FT_TestCoverageMatrix_FIO!A7</f>
        <v>FIO_RM_Off</v>
      </c>
      <c r="C5" s="15" t="s">
        <v>154</v>
      </c>
    </row>
    <row r="6" spans="1:3" x14ac:dyDescent="0.25">
      <c r="A6" s="14">
        <v>3</v>
      </c>
      <c r="B6" s="11" t="str">
        <f>FT_TestCoverageMatrix_FIO!A8</f>
        <v>RJ45 Lan port</v>
      </c>
      <c r="C6" s="15" t="s">
        <v>154</v>
      </c>
    </row>
    <row r="7" spans="1:3" x14ac:dyDescent="0.25">
      <c r="A7" s="14">
        <v>4</v>
      </c>
      <c r="B7" s="11" t="str">
        <f>FT_TestCoverageMatrix_FIO!A9</f>
        <v>UID LED</v>
      </c>
      <c r="C7" s="15" t="s">
        <v>154</v>
      </c>
    </row>
    <row r="8" spans="1:3" x14ac:dyDescent="0.25">
      <c r="A8" s="14">
        <v>5</v>
      </c>
      <c r="B8" s="11" t="str">
        <f>FT_TestCoverageMatrix_FIO!A10</f>
        <v>Blade_att_led</v>
      </c>
      <c r="C8" s="15" t="s">
        <v>154</v>
      </c>
    </row>
    <row r="9" spans="1:3" x14ac:dyDescent="0.25">
      <c r="A9" s="14">
        <v>6</v>
      </c>
      <c r="B9" s="11" t="str">
        <f>FT_TestCoverageMatrix_FIO!A11</f>
        <v>FIO_TMP75</v>
      </c>
      <c r="C9" s="15" t="s">
        <v>154</v>
      </c>
    </row>
    <row r="10" spans="1:3" x14ac:dyDescent="0.25">
      <c r="A10" s="14">
        <v>7</v>
      </c>
      <c r="B10" s="11" t="str">
        <f>FT_TestCoverageMatrix_FIO!A12</f>
        <v>FIO_TMP75</v>
      </c>
      <c r="C10" s="15" t="s">
        <v>154</v>
      </c>
    </row>
    <row r="11" spans="1:3" x14ac:dyDescent="0.25">
      <c r="A11" s="14">
        <v>8</v>
      </c>
      <c r="B11" s="11" t="str">
        <f>FT_TestCoverageMatrix_FIO!A13</f>
        <v>PWR LED</v>
      </c>
      <c r="C11" s="15" t="s">
        <v>154</v>
      </c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opLeftCell="E1" zoomScale="85" zoomScaleNormal="85" workbookViewId="0">
      <selection activeCell="N5" sqref="N5:O5"/>
    </sheetView>
  </sheetViews>
  <sheetFormatPr defaultColWidth="9.140625" defaultRowHeight="15" x14ac:dyDescent="0.25"/>
  <cols>
    <col min="1" max="1" width="30.42578125" style="2" customWidth="1"/>
    <col min="2" max="2" width="11" style="2" customWidth="1"/>
    <col min="3" max="3" width="21" style="2" customWidth="1"/>
    <col min="4" max="4" width="36.140625" style="2" customWidth="1"/>
    <col min="5" max="5" width="21.42578125" style="2" bestFit="1" customWidth="1"/>
    <col min="6" max="6" width="49" style="2" customWidth="1"/>
    <col min="7" max="7" width="26.42578125" style="2" customWidth="1"/>
    <col min="8" max="8" width="41.85546875" style="2" bestFit="1" customWidth="1"/>
    <col min="9" max="9" width="29.42578125" style="2" customWidth="1"/>
    <col min="10" max="10" width="29.5703125" style="2" customWidth="1"/>
    <col min="11" max="11" width="10.28515625" style="2" customWidth="1"/>
    <col min="12" max="12" width="18.42578125" style="2" customWidth="1"/>
    <col min="13" max="13" width="19.5703125" style="2" customWidth="1"/>
    <col min="14" max="14" width="29.140625" style="2" customWidth="1"/>
    <col min="15" max="15" width="28.28515625" style="2" customWidth="1"/>
    <col min="16" max="16384" width="9.140625" style="2"/>
  </cols>
  <sheetData>
    <row r="1" spans="1:15" ht="18.75" x14ac:dyDescent="0.3">
      <c r="A1" s="1" t="s">
        <v>0</v>
      </c>
    </row>
    <row r="2" spans="1:15" x14ac:dyDescent="0.25">
      <c r="A2" s="3" t="s">
        <v>1</v>
      </c>
      <c r="B2" s="2" t="s">
        <v>173</v>
      </c>
    </row>
    <row r="3" spans="1:15" x14ac:dyDescent="0.25">
      <c r="A3" s="3" t="s">
        <v>2</v>
      </c>
      <c r="B3" s="2" t="s">
        <v>311</v>
      </c>
    </row>
    <row r="5" spans="1:15" s="4" customFormat="1" ht="49.5" customHeight="1" thickBo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71</v>
      </c>
      <c r="K5" s="12" t="s">
        <v>72</v>
      </c>
      <c r="L5" s="12" t="s">
        <v>73</v>
      </c>
      <c r="M5" s="12" t="s">
        <v>74</v>
      </c>
      <c r="N5" s="12" t="s">
        <v>385</v>
      </c>
      <c r="O5" s="12" t="s">
        <v>384</v>
      </c>
    </row>
    <row r="6" spans="1:15" ht="30.75" thickBot="1" x14ac:dyDescent="0.25">
      <c r="A6" s="5" t="s">
        <v>174</v>
      </c>
      <c r="B6" s="5" t="s">
        <v>14</v>
      </c>
      <c r="C6" s="5" t="s">
        <v>15</v>
      </c>
      <c r="D6" s="19" t="s">
        <v>354</v>
      </c>
      <c r="E6" s="5" t="s">
        <v>229</v>
      </c>
      <c r="F6" s="6" t="s">
        <v>194</v>
      </c>
      <c r="G6" s="5" t="s">
        <v>266</v>
      </c>
      <c r="H6" s="20" t="s">
        <v>265</v>
      </c>
      <c r="I6" s="11" t="s">
        <v>251</v>
      </c>
      <c r="J6" s="5" t="s">
        <v>199</v>
      </c>
      <c r="K6" s="10">
        <v>20</v>
      </c>
      <c r="L6" s="11"/>
      <c r="M6" s="11"/>
      <c r="N6" s="42" t="s">
        <v>440</v>
      </c>
      <c r="O6" s="43" t="s">
        <v>441</v>
      </c>
    </row>
    <row r="7" spans="1:15" ht="45.75" thickBot="1" x14ac:dyDescent="0.25">
      <c r="A7" s="5" t="s">
        <v>175</v>
      </c>
      <c r="B7" s="5" t="s">
        <v>14</v>
      </c>
      <c r="C7" s="5" t="s">
        <v>15</v>
      </c>
      <c r="D7" s="5" t="s">
        <v>16</v>
      </c>
      <c r="E7" s="5" t="s">
        <v>229</v>
      </c>
      <c r="F7" s="6" t="s">
        <v>339</v>
      </c>
      <c r="G7" s="5" t="s">
        <v>266</v>
      </c>
      <c r="H7" s="20" t="s">
        <v>267</v>
      </c>
      <c r="I7" s="11" t="s">
        <v>251</v>
      </c>
      <c r="J7" s="5" t="s">
        <v>200</v>
      </c>
      <c r="K7" s="10">
        <v>20</v>
      </c>
      <c r="L7" s="11"/>
      <c r="M7" s="11"/>
      <c r="N7" s="42" t="s">
        <v>442</v>
      </c>
      <c r="O7" s="43" t="s">
        <v>377</v>
      </c>
    </row>
    <row r="8" spans="1:15" x14ac:dyDescent="0.25">
      <c r="A8" s="5" t="s">
        <v>176</v>
      </c>
      <c r="B8" s="5" t="s">
        <v>14</v>
      </c>
      <c r="C8" s="5" t="s">
        <v>15</v>
      </c>
      <c r="D8" s="5" t="s">
        <v>290</v>
      </c>
      <c r="E8" s="5" t="s">
        <v>229</v>
      </c>
      <c r="F8" s="10" t="s">
        <v>247</v>
      </c>
      <c r="G8" s="5" t="s">
        <v>266</v>
      </c>
      <c r="H8" s="21" t="s">
        <v>270</v>
      </c>
      <c r="I8" s="11" t="s">
        <v>251</v>
      </c>
      <c r="J8" s="5"/>
      <c r="K8" s="10">
        <v>30</v>
      </c>
      <c r="L8" s="11"/>
      <c r="M8" s="11"/>
      <c r="N8" s="45" t="s">
        <v>340</v>
      </c>
    </row>
    <row r="9" spans="1:15" ht="60" x14ac:dyDescent="0.25">
      <c r="A9" s="5" t="s">
        <v>177</v>
      </c>
      <c r="B9" s="5" t="s">
        <v>14</v>
      </c>
      <c r="C9" s="5" t="s">
        <v>15</v>
      </c>
      <c r="D9" s="5" t="s">
        <v>187</v>
      </c>
      <c r="E9" s="5" t="s">
        <v>228</v>
      </c>
      <c r="F9" s="6" t="s">
        <v>346</v>
      </c>
      <c r="G9" s="5" t="s">
        <v>266</v>
      </c>
      <c r="H9" s="20" t="s">
        <v>260</v>
      </c>
      <c r="I9" s="11" t="s">
        <v>261</v>
      </c>
      <c r="J9" s="5"/>
      <c r="K9" s="10">
        <v>30</v>
      </c>
      <c r="L9" s="11"/>
      <c r="M9" s="11"/>
    </row>
    <row r="10" spans="1:15" ht="75.75" thickBot="1" x14ac:dyDescent="0.3">
      <c r="A10" s="5" t="s">
        <v>178</v>
      </c>
      <c r="B10" s="5" t="s">
        <v>14</v>
      </c>
      <c r="C10" s="5" t="s">
        <v>15</v>
      </c>
      <c r="D10" s="5" t="s">
        <v>187</v>
      </c>
      <c r="E10" s="5" t="s">
        <v>228</v>
      </c>
      <c r="F10" s="6" t="s">
        <v>195</v>
      </c>
      <c r="G10" s="5" t="s">
        <v>266</v>
      </c>
      <c r="H10" s="20" t="s">
        <v>260</v>
      </c>
      <c r="I10" s="11" t="s">
        <v>261</v>
      </c>
      <c r="J10" s="5"/>
      <c r="K10" s="10">
        <v>30</v>
      </c>
      <c r="L10" s="11"/>
      <c r="M10" s="11"/>
    </row>
    <row r="11" spans="1:15" ht="45.75" thickBot="1" x14ac:dyDescent="0.25">
      <c r="A11" s="5" t="s">
        <v>179</v>
      </c>
      <c r="B11" s="5" t="s">
        <v>14</v>
      </c>
      <c r="C11" s="5" t="s">
        <v>15</v>
      </c>
      <c r="D11" s="5" t="s">
        <v>188</v>
      </c>
      <c r="E11" s="5" t="s">
        <v>229</v>
      </c>
      <c r="F11" s="6" t="s">
        <v>337</v>
      </c>
      <c r="G11" s="5" t="s">
        <v>266</v>
      </c>
      <c r="H11" s="20" t="s">
        <v>268</v>
      </c>
      <c r="I11" s="11" t="s">
        <v>251</v>
      </c>
      <c r="J11" s="5"/>
      <c r="K11" s="10">
        <v>60</v>
      </c>
      <c r="L11" s="11"/>
      <c r="M11" s="11"/>
      <c r="N11" s="42" t="s">
        <v>443</v>
      </c>
      <c r="O11" s="43"/>
    </row>
    <row r="12" spans="1:15" ht="45.75" thickBot="1" x14ac:dyDescent="0.25">
      <c r="A12" s="5" t="s">
        <v>180</v>
      </c>
      <c r="B12" s="5" t="s">
        <v>14</v>
      </c>
      <c r="C12" s="5" t="s">
        <v>15</v>
      </c>
      <c r="D12" s="5" t="s">
        <v>188</v>
      </c>
      <c r="E12" s="5" t="s">
        <v>229</v>
      </c>
      <c r="F12" s="6" t="s">
        <v>336</v>
      </c>
      <c r="G12" s="5" t="s">
        <v>266</v>
      </c>
      <c r="H12" s="20" t="s">
        <v>269</v>
      </c>
      <c r="I12" s="11" t="s">
        <v>251</v>
      </c>
      <c r="J12" s="5"/>
      <c r="K12" s="10">
        <v>60</v>
      </c>
      <c r="L12" s="11"/>
      <c r="M12" s="11"/>
      <c r="N12" s="42" t="s">
        <v>444</v>
      </c>
      <c r="O12" s="43"/>
    </row>
    <row r="13" spans="1:15" ht="45.75" thickBot="1" x14ac:dyDescent="0.25">
      <c r="A13" s="5" t="s">
        <v>181</v>
      </c>
      <c r="B13" s="5" t="s">
        <v>14</v>
      </c>
      <c r="C13" s="5"/>
      <c r="D13" s="5" t="s">
        <v>189</v>
      </c>
      <c r="E13" s="5" t="s">
        <v>229</v>
      </c>
      <c r="F13" s="6" t="s">
        <v>335</v>
      </c>
      <c r="G13" s="5" t="s">
        <v>266</v>
      </c>
      <c r="H13" s="20" t="s">
        <v>271</v>
      </c>
      <c r="I13" s="11" t="s">
        <v>251</v>
      </c>
      <c r="J13" s="5"/>
      <c r="K13" s="10">
        <v>20</v>
      </c>
      <c r="L13" s="11"/>
      <c r="M13" s="11"/>
      <c r="N13" s="42" t="s">
        <v>445</v>
      </c>
      <c r="O13" s="43"/>
    </row>
    <row r="14" spans="1:15" ht="39" thickBot="1" x14ac:dyDescent="0.25">
      <c r="A14" s="5" t="s">
        <v>182</v>
      </c>
      <c r="B14" s="5" t="s">
        <v>14</v>
      </c>
      <c r="C14" s="5" t="s">
        <v>15</v>
      </c>
      <c r="D14" s="5" t="s">
        <v>190</v>
      </c>
      <c r="E14" s="5"/>
      <c r="F14" s="10" t="s">
        <v>196</v>
      </c>
      <c r="G14" s="5" t="s">
        <v>266</v>
      </c>
      <c r="H14" s="11" t="s">
        <v>272</v>
      </c>
      <c r="I14" s="11"/>
      <c r="J14" s="5"/>
      <c r="K14" s="10"/>
      <c r="L14" s="11"/>
      <c r="M14" s="11"/>
      <c r="N14" s="42" t="s">
        <v>446</v>
      </c>
      <c r="O14" s="43" t="s">
        <v>447</v>
      </c>
    </row>
    <row r="15" spans="1:15" ht="30.75" thickBot="1" x14ac:dyDescent="0.25">
      <c r="A15" s="5" t="s">
        <v>183</v>
      </c>
      <c r="B15" s="5" t="s">
        <v>14</v>
      </c>
      <c r="C15" s="5" t="s">
        <v>15</v>
      </c>
      <c r="D15" s="5" t="s">
        <v>191</v>
      </c>
      <c r="E15" s="5"/>
      <c r="F15" s="6" t="s">
        <v>197</v>
      </c>
      <c r="G15" s="5" t="s">
        <v>266</v>
      </c>
      <c r="H15" s="11" t="s">
        <v>273</v>
      </c>
      <c r="I15" s="11"/>
      <c r="J15" s="5"/>
      <c r="K15" s="10"/>
      <c r="L15" s="11"/>
      <c r="M15" s="11"/>
      <c r="N15" s="42" t="s">
        <v>340</v>
      </c>
      <c r="O15" s="43"/>
    </row>
    <row r="16" spans="1:15" ht="77.25" thickBot="1" x14ac:dyDescent="0.25">
      <c r="A16" s="5" t="s">
        <v>184</v>
      </c>
      <c r="B16" s="5" t="s">
        <v>14</v>
      </c>
      <c r="C16" s="5" t="s">
        <v>15</v>
      </c>
      <c r="D16" s="5" t="s">
        <v>192</v>
      </c>
      <c r="E16" s="5"/>
      <c r="F16" s="6" t="s">
        <v>198</v>
      </c>
      <c r="G16" s="5" t="s">
        <v>266</v>
      </c>
      <c r="H16" s="11" t="s">
        <v>274</v>
      </c>
      <c r="I16" s="11"/>
      <c r="J16" s="5"/>
      <c r="K16" s="10"/>
      <c r="L16" s="11"/>
      <c r="M16" s="11"/>
      <c r="N16" s="42" t="s">
        <v>432</v>
      </c>
      <c r="O16" s="47" t="s">
        <v>433</v>
      </c>
    </row>
    <row r="17" spans="1:13" x14ac:dyDescent="0.25">
      <c r="A17" s="18" t="s">
        <v>185</v>
      </c>
      <c r="B17" s="5" t="s">
        <v>186</v>
      </c>
      <c r="C17" s="11"/>
      <c r="D17" s="5" t="s">
        <v>193</v>
      </c>
      <c r="E17" s="5"/>
      <c r="F17" s="6"/>
      <c r="G17" s="5"/>
      <c r="H17" s="11"/>
      <c r="I17" s="11"/>
      <c r="J17" s="5"/>
      <c r="K17" s="10"/>
      <c r="L17" s="11"/>
      <c r="M17" s="11"/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C6" sqref="C6"/>
    </sheetView>
  </sheetViews>
  <sheetFormatPr defaultRowHeight="15.75" x14ac:dyDescent="0.25"/>
  <cols>
    <col min="2" max="2" width="49.28515625" bestFit="1" customWidth="1"/>
    <col min="3" max="3" width="22.28515625" customWidth="1"/>
  </cols>
  <sheetData>
    <row r="1" spans="1:6" ht="18.75" x14ac:dyDescent="0.3">
      <c r="A1" s="1" t="s">
        <v>66</v>
      </c>
      <c r="B1" s="1"/>
      <c r="C1" s="1"/>
    </row>
    <row r="2" spans="1:6" x14ac:dyDescent="0.25">
      <c r="A2" s="3" t="s">
        <v>67</v>
      </c>
      <c r="B2" s="3"/>
      <c r="C2" s="16">
        <f>(COUNTIF(C4:C64,"y")+F15)/(COUNTA(A4:A64)+F15)</f>
        <v>1</v>
      </c>
    </row>
    <row r="3" spans="1:6" x14ac:dyDescent="0.25">
      <c r="A3" s="13" t="s">
        <v>68</v>
      </c>
      <c r="B3" s="13" t="s">
        <v>69</v>
      </c>
      <c r="C3" s="13" t="s">
        <v>201</v>
      </c>
    </row>
    <row r="4" spans="1:6" x14ac:dyDescent="0.25">
      <c r="A4" s="14">
        <v>1</v>
      </c>
      <c r="B4" s="11" t="str">
        <f>FT_TestCoverageMatrix_CM!A6</f>
        <v>CM_TMP75</v>
      </c>
      <c r="C4" s="15" t="s">
        <v>154</v>
      </c>
    </row>
    <row r="5" spans="1:6" x14ac:dyDescent="0.25">
      <c r="A5" s="14">
        <v>2</v>
      </c>
      <c r="B5" s="11" t="str">
        <f>FT_TestCoverageMatrix_CM!A7</f>
        <v>AT24C256C</v>
      </c>
      <c r="C5" s="15" t="s">
        <v>154</v>
      </c>
    </row>
    <row r="6" spans="1:6" x14ac:dyDescent="0.25">
      <c r="A6" s="14">
        <v>3</v>
      </c>
      <c r="B6" s="11" t="str">
        <f>FT_TestCoverageMatrix_CM!A8</f>
        <v>CM FRU Flash</v>
      </c>
      <c r="C6" s="15" t="s">
        <v>91</v>
      </c>
    </row>
    <row r="7" spans="1:6" x14ac:dyDescent="0.25">
      <c r="A7" s="14">
        <v>4</v>
      </c>
      <c r="B7" s="11" t="str">
        <f>FT_TestCoverageMatrix_CM!A9</f>
        <v>CM RM_Throttle</v>
      </c>
      <c r="C7" s="15" t="s">
        <v>154</v>
      </c>
    </row>
    <row r="8" spans="1:6" x14ac:dyDescent="0.25">
      <c r="A8" s="14">
        <v>5</v>
      </c>
      <c r="B8" s="11" t="str">
        <f>FT_TestCoverageMatrix_CM!A10</f>
        <v>CM RM_Off</v>
      </c>
      <c r="C8" s="15" t="s">
        <v>154</v>
      </c>
    </row>
    <row r="9" spans="1:6" x14ac:dyDescent="0.25">
      <c r="A9" s="14">
        <v>6</v>
      </c>
      <c r="B9" s="11" t="str">
        <f>FT_TestCoverageMatrix_CM!A11</f>
        <v>Mac address flash</v>
      </c>
      <c r="C9" s="15" t="s">
        <v>154</v>
      </c>
    </row>
    <row r="10" spans="1:6" x14ac:dyDescent="0.25">
      <c r="A10" s="14">
        <v>7</v>
      </c>
      <c r="B10" s="11" t="str">
        <f>FT_TestCoverageMatrix_CM!A12</f>
        <v>Mac address check</v>
      </c>
      <c r="C10" s="15" t="s">
        <v>154</v>
      </c>
    </row>
    <row r="11" spans="1:6" x14ac:dyDescent="0.25">
      <c r="A11" s="14">
        <v>8</v>
      </c>
      <c r="B11" s="11" t="str">
        <f>FT_TestCoverageMatrix_CM!A13</f>
        <v>BMC FW version check</v>
      </c>
      <c r="C11" s="15" t="s">
        <v>154</v>
      </c>
    </row>
    <row r="12" spans="1:6" x14ac:dyDescent="0.25">
      <c r="A12" s="14">
        <v>9</v>
      </c>
      <c r="B12" s="11" t="str">
        <f>FT_TestCoverageMatrix_CM!A14</f>
        <v>Test Items of UBB (BMC_console) * test items : 36</v>
      </c>
      <c r="C12" s="15" t="s">
        <v>154</v>
      </c>
    </row>
    <row r="13" spans="1:6" x14ac:dyDescent="0.25">
      <c r="A13" s="14">
        <v>10</v>
      </c>
      <c r="B13" s="11" t="str">
        <f>FT_TestCoverageMatrix_CM!A15</f>
        <v>Test Items of PDB * test items : 26</v>
      </c>
      <c r="C13" s="15" t="s">
        <v>154</v>
      </c>
    </row>
    <row r="14" spans="1:6" x14ac:dyDescent="0.25">
      <c r="A14" s="14">
        <v>11</v>
      </c>
      <c r="B14" s="11" t="str">
        <f>FT_TestCoverageMatrix_CM!A16</f>
        <v>Test Items of FIO * test items : 5</v>
      </c>
      <c r="C14" s="15" t="s">
        <v>154</v>
      </c>
    </row>
    <row r="15" spans="1:6" x14ac:dyDescent="0.25">
      <c r="A15" s="14">
        <v>12</v>
      </c>
      <c r="B15" s="11" t="str">
        <f>FT_TestCoverageMatrix_CM!A17</f>
        <v>CPLD M5240ZT100</v>
      </c>
      <c r="C15" s="15" t="s">
        <v>154</v>
      </c>
      <c r="F15" s="2">
        <v>67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E1" zoomScale="70" zoomScaleNormal="70" workbookViewId="0">
      <selection activeCell="N27" sqref="N27"/>
    </sheetView>
  </sheetViews>
  <sheetFormatPr defaultColWidth="9.140625" defaultRowHeight="15" x14ac:dyDescent="0.25"/>
  <cols>
    <col min="1" max="1" width="74.7109375" style="2" bestFit="1" customWidth="1"/>
    <col min="2" max="2" width="14.5703125" style="2" bestFit="1" customWidth="1"/>
    <col min="3" max="3" width="21" style="2" customWidth="1"/>
    <col min="4" max="4" width="42.42578125" style="2" customWidth="1"/>
    <col min="5" max="5" width="22.28515625" style="2" bestFit="1" customWidth="1"/>
    <col min="6" max="6" width="76.5703125" style="2" bestFit="1" customWidth="1"/>
    <col min="7" max="7" width="38.85546875" style="2" bestFit="1" customWidth="1"/>
    <col min="8" max="8" width="41.85546875" style="2" bestFit="1" customWidth="1"/>
    <col min="9" max="9" width="33.42578125" style="2" bestFit="1" customWidth="1"/>
    <col min="10" max="10" width="29.5703125" style="2" customWidth="1"/>
    <col min="11" max="11" width="10.28515625" style="2" customWidth="1"/>
    <col min="12" max="12" width="18.42578125" style="2" customWidth="1"/>
    <col min="13" max="13" width="19.5703125" style="2" customWidth="1"/>
    <col min="14" max="14" width="40.140625" style="2" customWidth="1"/>
    <col min="15" max="15" width="19.5703125" style="2" customWidth="1"/>
    <col min="16" max="16384" width="9.140625" style="2"/>
  </cols>
  <sheetData>
    <row r="1" spans="1:15" ht="18.75" x14ac:dyDescent="0.3">
      <c r="A1" s="1" t="s">
        <v>0</v>
      </c>
    </row>
    <row r="2" spans="1:15" x14ac:dyDescent="0.25">
      <c r="A2" s="3" t="s">
        <v>1</v>
      </c>
      <c r="B2" s="2" t="s">
        <v>293</v>
      </c>
    </row>
    <row r="3" spans="1:15" x14ac:dyDescent="0.25">
      <c r="A3" s="3" t="s">
        <v>2</v>
      </c>
      <c r="B3" s="2" t="s">
        <v>292</v>
      </c>
    </row>
    <row r="5" spans="1:15" s="4" customFormat="1" ht="49.5" customHeight="1" thickBo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71</v>
      </c>
      <c r="K5" s="12" t="s">
        <v>72</v>
      </c>
      <c r="L5" s="12" t="s">
        <v>73</v>
      </c>
      <c r="M5" s="12" t="s">
        <v>74</v>
      </c>
      <c r="N5" s="12" t="s">
        <v>385</v>
      </c>
      <c r="O5" s="12" t="s">
        <v>384</v>
      </c>
    </row>
    <row r="6" spans="1:15" ht="39" thickBot="1" x14ac:dyDescent="0.25">
      <c r="A6" s="5" t="s">
        <v>202</v>
      </c>
      <c r="B6" s="5" t="s">
        <v>14</v>
      </c>
      <c r="C6" s="5" t="s">
        <v>15</v>
      </c>
      <c r="D6" s="5" t="s">
        <v>16</v>
      </c>
      <c r="E6" s="5" t="s">
        <v>230</v>
      </c>
      <c r="F6" s="10" t="s">
        <v>196</v>
      </c>
      <c r="G6" s="11" t="s">
        <v>288</v>
      </c>
      <c r="H6" s="20" t="s">
        <v>287</v>
      </c>
      <c r="I6" s="11" t="s">
        <v>251</v>
      </c>
      <c r="J6" s="5"/>
      <c r="K6" s="10">
        <v>30</v>
      </c>
      <c r="L6" s="11"/>
      <c r="M6" s="11"/>
      <c r="N6" s="42" t="s">
        <v>448</v>
      </c>
      <c r="O6" s="43">
        <v>1</v>
      </c>
    </row>
    <row r="7" spans="1:15" ht="30" x14ac:dyDescent="0.25">
      <c r="A7" s="5" t="s">
        <v>203</v>
      </c>
      <c r="B7" s="5" t="s">
        <v>14</v>
      </c>
      <c r="C7" s="5" t="s">
        <v>40</v>
      </c>
      <c r="D7" s="5" t="s">
        <v>211</v>
      </c>
      <c r="E7" s="5" t="s">
        <v>231</v>
      </c>
      <c r="F7" s="10" t="s">
        <v>215</v>
      </c>
      <c r="G7" s="11" t="s">
        <v>288</v>
      </c>
      <c r="H7" s="20" t="s">
        <v>279</v>
      </c>
      <c r="I7" s="11" t="s">
        <v>278</v>
      </c>
      <c r="J7" s="5"/>
      <c r="K7" s="10">
        <v>5400</v>
      </c>
      <c r="L7" s="11"/>
      <c r="M7" s="11"/>
    </row>
    <row r="8" spans="1:15" ht="60" x14ac:dyDescent="0.25">
      <c r="A8" s="5" t="s">
        <v>204</v>
      </c>
      <c r="B8" s="5" t="s">
        <v>14</v>
      </c>
      <c r="C8" s="5" t="s">
        <v>40</v>
      </c>
      <c r="D8" s="5" t="s">
        <v>212</v>
      </c>
      <c r="E8" s="5" t="s">
        <v>231</v>
      </c>
      <c r="F8" s="6" t="s">
        <v>216</v>
      </c>
      <c r="G8" s="11" t="s">
        <v>288</v>
      </c>
      <c r="H8" s="5"/>
      <c r="I8" s="11"/>
      <c r="J8" s="5"/>
      <c r="K8" s="10">
        <f>690*8</f>
        <v>5520</v>
      </c>
      <c r="L8" s="11"/>
      <c r="M8" s="11"/>
    </row>
    <row r="9" spans="1:15" ht="30" x14ac:dyDescent="0.25">
      <c r="A9" s="5" t="s">
        <v>205</v>
      </c>
      <c r="B9" s="5" t="s">
        <v>14</v>
      </c>
      <c r="C9" s="5" t="s">
        <v>40</v>
      </c>
      <c r="D9" s="5" t="s">
        <v>212</v>
      </c>
      <c r="E9" s="5" t="s">
        <v>231</v>
      </c>
      <c r="F9" s="6" t="s">
        <v>217</v>
      </c>
      <c r="G9" s="11" t="s">
        <v>288</v>
      </c>
      <c r="H9" s="5"/>
      <c r="I9" s="11"/>
      <c r="J9" s="5"/>
      <c r="K9" s="10">
        <f>70*60</f>
        <v>4200</v>
      </c>
      <c r="L9" s="11"/>
      <c r="M9" s="11"/>
    </row>
    <row r="10" spans="1:15" ht="30" x14ac:dyDescent="0.25">
      <c r="A10" s="5" t="s">
        <v>206</v>
      </c>
      <c r="B10" s="5" t="s">
        <v>14</v>
      </c>
      <c r="C10" s="5" t="s">
        <v>40</v>
      </c>
      <c r="D10" s="5" t="s">
        <v>213</v>
      </c>
      <c r="E10" s="5" t="s">
        <v>232</v>
      </c>
      <c r="F10" s="6" t="s">
        <v>218</v>
      </c>
      <c r="G10" s="11" t="s">
        <v>288</v>
      </c>
      <c r="H10" s="5" t="s">
        <v>280</v>
      </c>
      <c r="I10" s="11" t="s">
        <v>281</v>
      </c>
      <c r="J10" s="5"/>
      <c r="K10" s="10">
        <v>20</v>
      </c>
      <c r="L10" s="11"/>
      <c r="M10" s="11"/>
    </row>
    <row r="11" spans="1:15" ht="30" x14ac:dyDescent="0.25">
      <c r="A11" s="5" t="s">
        <v>207</v>
      </c>
      <c r="B11" s="5" t="s">
        <v>14</v>
      </c>
      <c r="C11" s="5" t="s">
        <v>40</v>
      </c>
      <c r="D11" s="5" t="s">
        <v>213</v>
      </c>
      <c r="E11" s="5" t="s">
        <v>232</v>
      </c>
      <c r="F11" s="6" t="s">
        <v>219</v>
      </c>
      <c r="G11" s="11" t="s">
        <v>288</v>
      </c>
      <c r="H11" s="19" t="s">
        <v>283</v>
      </c>
      <c r="I11" s="11" t="s">
        <v>282</v>
      </c>
      <c r="J11" s="5"/>
      <c r="K11" s="10">
        <v>20</v>
      </c>
      <c r="L11" s="11"/>
      <c r="M11" s="11"/>
    </row>
    <row r="12" spans="1:15" ht="75" x14ac:dyDescent="0.25">
      <c r="A12" s="5" t="s">
        <v>294</v>
      </c>
      <c r="B12" s="5" t="s">
        <v>14</v>
      </c>
      <c r="C12" s="5" t="s">
        <v>40</v>
      </c>
      <c r="D12" s="19" t="s">
        <v>299</v>
      </c>
      <c r="E12" s="5" t="s">
        <v>233</v>
      </c>
      <c r="F12" s="6" t="s">
        <v>298</v>
      </c>
      <c r="G12" s="11" t="s">
        <v>288</v>
      </c>
      <c r="H12" s="19" t="s">
        <v>303</v>
      </c>
      <c r="I12" s="11" t="s">
        <v>284</v>
      </c>
      <c r="J12" s="5"/>
      <c r="K12" s="6">
        <v>720</v>
      </c>
      <c r="L12" s="11"/>
      <c r="M12" s="11"/>
    </row>
    <row r="13" spans="1:15" ht="60" x14ac:dyDescent="0.25">
      <c r="A13" s="5" t="s">
        <v>295</v>
      </c>
      <c r="B13" s="5" t="s">
        <v>14</v>
      </c>
      <c r="C13" s="5" t="s">
        <v>40</v>
      </c>
      <c r="D13" s="19" t="s">
        <v>300</v>
      </c>
      <c r="E13" s="5" t="s">
        <v>234</v>
      </c>
      <c r="F13" s="6" t="s">
        <v>301</v>
      </c>
      <c r="G13" s="20" t="s">
        <v>289</v>
      </c>
      <c r="H13" s="19" t="s">
        <v>304</v>
      </c>
      <c r="I13" s="11" t="s">
        <v>261</v>
      </c>
      <c r="J13" s="5"/>
      <c r="K13" s="10">
        <v>300</v>
      </c>
      <c r="L13" s="11"/>
      <c r="M13" s="11"/>
    </row>
    <row r="14" spans="1:15" x14ac:dyDescent="0.25">
      <c r="A14" s="5" t="s">
        <v>296</v>
      </c>
      <c r="B14" s="5" t="s">
        <v>14</v>
      </c>
      <c r="C14" s="5" t="s">
        <v>210</v>
      </c>
      <c r="D14" s="5" t="s">
        <v>307</v>
      </c>
      <c r="E14" s="5" t="s">
        <v>235</v>
      </c>
      <c r="F14" s="10" t="s">
        <v>302</v>
      </c>
      <c r="G14" s="11" t="s">
        <v>288</v>
      </c>
      <c r="H14" s="5" t="s">
        <v>305</v>
      </c>
      <c r="I14" s="11" t="s">
        <v>261</v>
      </c>
      <c r="J14" s="5"/>
      <c r="K14" s="10">
        <v>600</v>
      </c>
      <c r="L14" s="11"/>
      <c r="M14" s="11"/>
    </row>
    <row r="15" spans="1:15" x14ac:dyDescent="0.25">
      <c r="A15" s="5" t="s">
        <v>223</v>
      </c>
      <c r="B15" s="5" t="s">
        <v>14</v>
      </c>
      <c r="C15" s="5" t="s">
        <v>210</v>
      </c>
      <c r="D15" s="5" t="s">
        <v>307</v>
      </c>
      <c r="E15" s="5" t="s">
        <v>235</v>
      </c>
      <c r="F15" s="10" t="s">
        <v>302</v>
      </c>
      <c r="G15" s="11" t="s">
        <v>288</v>
      </c>
      <c r="H15" s="5" t="s">
        <v>306</v>
      </c>
      <c r="I15" s="11" t="s">
        <v>261</v>
      </c>
      <c r="J15" s="5"/>
      <c r="K15" s="10">
        <v>420</v>
      </c>
      <c r="L15" s="11"/>
      <c r="M15" s="11"/>
    </row>
    <row r="16" spans="1:15" ht="45" hidden="1" x14ac:dyDescent="0.25">
      <c r="A16" s="5" t="s">
        <v>222</v>
      </c>
      <c r="B16" s="5" t="s">
        <v>14</v>
      </c>
      <c r="C16" s="5" t="s">
        <v>40</v>
      </c>
      <c r="D16" s="5" t="s">
        <v>213</v>
      </c>
      <c r="E16" s="5" t="s">
        <v>236</v>
      </c>
      <c r="F16" s="6" t="s">
        <v>220</v>
      </c>
      <c r="G16" s="11" t="s">
        <v>288</v>
      </c>
      <c r="H16" s="5" t="s">
        <v>285</v>
      </c>
      <c r="I16" s="11" t="s">
        <v>286</v>
      </c>
      <c r="J16" s="5"/>
      <c r="K16" s="10"/>
      <c r="L16" s="11"/>
      <c r="M16" s="11"/>
    </row>
    <row r="17" spans="1:15" ht="60.75" thickBot="1" x14ac:dyDescent="0.3">
      <c r="A17" s="5" t="s">
        <v>208</v>
      </c>
      <c r="B17" s="5" t="s">
        <v>14</v>
      </c>
      <c r="C17" s="5" t="s">
        <v>15</v>
      </c>
      <c r="D17" s="5" t="s">
        <v>214</v>
      </c>
      <c r="E17" s="5"/>
      <c r="F17" s="6" t="s">
        <v>221</v>
      </c>
      <c r="G17" s="11" t="s">
        <v>288</v>
      </c>
      <c r="H17" s="11" t="s">
        <v>275</v>
      </c>
      <c r="I17" s="11"/>
      <c r="J17" s="5"/>
      <c r="K17" s="10"/>
      <c r="L17" s="11"/>
      <c r="M17" s="11"/>
    </row>
    <row r="18" spans="1:15" ht="39" thickBot="1" x14ac:dyDescent="0.25">
      <c r="A18" s="5" t="s">
        <v>308</v>
      </c>
      <c r="B18" s="5" t="s">
        <v>14</v>
      </c>
      <c r="C18" s="5" t="s">
        <v>15</v>
      </c>
      <c r="D18" s="5"/>
      <c r="E18" s="5"/>
      <c r="F18" s="10" t="s">
        <v>196</v>
      </c>
      <c r="G18" s="11" t="s">
        <v>288</v>
      </c>
      <c r="H18" s="11" t="s">
        <v>276</v>
      </c>
      <c r="I18" s="5"/>
      <c r="J18" s="5"/>
      <c r="K18" s="10"/>
      <c r="L18" s="11"/>
      <c r="M18" s="11"/>
      <c r="N18" s="42" t="s">
        <v>449</v>
      </c>
      <c r="O18" s="43" t="s">
        <v>450</v>
      </c>
    </row>
    <row r="19" spans="1:15" ht="30.75" thickBot="1" x14ac:dyDescent="0.25">
      <c r="A19" s="5" t="s">
        <v>310</v>
      </c>
      <c r="B19" s="5" t="s">
        <v>14</v>
      </c>
      <c r="C19" s="5" t="s">
        <v>15</v>
      </c>
      <c r="D19" s="5"/>
      <c r="E19" s="5"/>
      <c r="F19" s="6" t="s">
        <v>197</v>
      </c>
      <c r="G19" s="11" t="s">
        <v>288</v>
      </c>
      <c r="H19" s="11" t="s">
        <v>274</v>
      </c>
      <c r="I19" s="5"/>
      <c r="J19" s="5"/>
      <c r="K19" s="10"/>
      <c r="L19" s="11"/>
      <c r="M19" s="11"/>
      <c r="N19" s="44" t="s">
        <v>436</v>
      </c>
      <c r="O19" s="48" t="s">
        <v>451</v>
      </c>
    </row>
    <row r="20" spans="1:15" ht="45.75" thickBot="1" x14ac:dyDescent="0.25">
      <c r="A20" s="5" t="s">
        <v>309</v>
      </c>
      <c r="B20" s="5" t="s">
        <v>14</v>
      </c>
      <c r="C20" s="5" t="s">
        <v>15</v>
      </c>
      <c r="D20" s="5"/>
      <c r="E20" s="5"/>
      <c r="F20" s="6" t="s">
        <v>198</v>
      </c>
      <c r="G20" s="11" t="s">
        <v>288</v>
      </c>
      <c r="H20" s="11" t="s">
        <v>277</v>
      </c>
      <c r="I20" s="5"/>
      <c r="J20" s="5"/>
      <c r="K20" s="10"/>
      <c r="L20" s="11"/>
      <c r="M20" s="11"/>
      <c r="N20" s="42" t="s">
        <v>386</v>
      </c>
      <c r="O20" s="43"/>
    </row>
    <row r="21" spans="1:15" ht="15.75" thickBot="1" x14ac:dyDescent="0.25">
      <c r="A21" s="5" t="s">
        <v>209</v>
      </c>
      <c r="B21" s="5" t="s">
        <v>14</v>
      </c>
      <c r="C21" s="5" t="s">
        <v>15</v>
      </c>
      <c r="D21" s="5" t="s">
        <v>290</v>
      </c>
      <c r="E21" s="5"/>
      <c r="F21" s="10" t="s">
        <v>341</v>
      </c>
      <c r="G21" s="11" t="s">
        <v>288</v>
      </c>
      <c r="H21" s="21" t="s">
        <v>270</v>
      </c>
      <c r="I21" s="11" t="s">
        <v>251</v>
      </c>
      <c r="J21" s="5"/>
      <c r="K21" s="10">
        <v>30</v>
      </c>
      <c r="L21" s="11"/>
      <c r="M21" s="11"/>
      <c r="N21" s="42" t="s">
        <v>340</v>
      </c>
      <c r="O21" s="43"/>
    </row>
  </sheetData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B18" sqref="B18"/>
    </sheetView>
  </sheetViews>
  <sheetFormatPr defaultRowHeight="15.75" x14ac:dyDescent="0.25"/>
  <cols>
    <col min="2" max="2" width="70.42578125" bestFit="1" customWidth="1"/>
    <col min="3" max="3" width="22.28515625" customWidth="1"/>
  </cols>
  <sheetData>
    <row r="1" spans="1:3" ht="18.75" x14ac:dyDescent="0.3">
      <c r="A1" s="1" t="s">
        <v>66</v>
      </c>
      <c r="B1" s="1"/>
      <c r="C1" s="1"/>
    </row>
    <row r="2" spans="1:3" x14ac:dyDescent="0.25">
      <c r="A2" s="3" t="s">
        <v>67</v>
      </c>
      <c r="B2" s="3"/>
      <c r="C2" s="16">
        <f>(COUNTIF(C4:C63,"y")+F19)/(COUNTA(A4:A63)+F19)</f>
        <v>1</v>
      </c>
    </row>
    <row r="3" spans="1:3" x14ac:dyDescent="0.25">
      <c r="A3" s="13" t="s">
        <v>68</v>
      </c>
      <c r="B3" s="13" t="s">
        <v>69</v>
      </c>
      <c r="C3" s="13" t="s">
        <v>201</v>
      </c>
    </row>
    <row r="4" spans="1:3" x14ac:dyDescent="0.25">
      <c r="A4" s="14">
        <v>1</v>
      </c>
      <c r="B4" s="11" t="str">
        <f>FT_TestCoverageMatrix_GOB!A6</f>
        <v>PSU Power Good</v>
      </c>
      <c r="C4" s="15" t="s">
        <v>154</v>
      </c>
    </row>
    <row r="5" spans="1:3" x14ac:dyDescent="0.25">
      <c r="A5" s="14">
        <v>2</v>
      </c>
      <c r="B5" s="11" t="str">
        <f>FT_TestCoverageMatrix_GOB!A7</f>
        <v>DCGM NVVS</v>
      </c>
      <c r="C5" s="15" t="s">
        <v>91</v>
      </c>
    </row>
    <row r="6" spans="1:3" x14ac:dyDescent="0.25">
      <c r="A6" s="14">
        <v>3</v>
      </c>
      <c r="B6" s="11" t="str">
        <f>FT_TestCoverageMatrix_GOB!A8</f>
        <v>NV Qual: PCIE Qualification test (Canceled, replaced by NVVS)</v>
      </c>
      <c r="C6" s="15" t="s">
        <v>154</v>
      </c>
    </row>
    <row r="7" spans="1:3" x14ac:dyDescent="0.25">
      <c r="A7" s="14">
        <v>4</v>
      </c>
      <c r="B7" s="11" t="str">
        <f>FT_TestCoverageMatrix_GOB!A9</f>
        <v>NV Qual: NVLink Qualification test (Canceled, replaced by NVVS)</v>
      </c>
      <c r="C7" s="15" t="s">
        <v>154</v>
      </c>
    </row>
    <row r="8" spans="1:3" x14ac:dyDescent="0.25">
      <c r="A8" s="14">
        <v>5</v>
      </c>
      <c r="B8" s="11" t="str">
        <f>FT_TestCoverageMatrix_GOB!A10</f>
        <v>Nvidia List</v>
      </c>
      <c r="C8" s="15" t="s">
        <v>154</v>
      </c>
    </row>
    <row r="9" spans="1:3" x14ac:dyDescent="0.25">
      <c r="A9" s="14">
        <v>6</v>
      </c>
      <c r="B9" s="11" t="str">
        <f>FT_TestCoverageMatrix_GOB!A11</f>
        <v>PLX9797 bandwidth &amp; linkspeed</v>
      </c>
      <c r="C9" s="15" t="s">
        <v>154</v>
      </c>
    </row>
    <row r="10" spans="1:3" x14ac:dyDescent="0.25">
      <c r="A10" s="14">
        <v>7</v>
      </c>
      <c r="B10" s="11" t="str">
        <f>FT_TestCoverageMatrix_GOB!A12</f>
        <v>AVA Card</v>
      </c>
      <c r="C10" s="15" t="s">
        <v>91</v>
      </c>
    </row>
    <row r="11" spans="1:3" x14ac:dyDescent="0.25">
      <c r="A11" s="14">
        <v>8</v>
      </c>
      <c r="B11" s="11" t="str">
        <f>FT_TestCoverageMatrix_GOB!A13</f>
        <v>Mellanox Card</v>
      </c>
      <c r="C11" s="15" t="s">
        <v>91</v>
      </c>
    </row>
    <row r="12" spans="1:3" x14ac:dyDescent="0.25">
      <c r="A12" s="14">
        <v>9</v>
      </c>
      <c r="B12" s="11" t="str">
        <f>FT_TestCoverageMatrix_GOB!A14</f>
        <v>Storey Peak Card - FW update</v>
      </c>
      <c r="C12" s="15" t="s">
        <v>91</v>
      </c>
    </row>
    <row r="13" spans="1:3" x14ac:dyDescent="0.25">
      <c r="A13" s="14">
        <v>10</v>
      </c>
      <c r="B13" s="11" t="str">
        <f>FT_TestCoverageMatrix_GOB!A15</f>
        <v>Storey Peak Card - Self Test</v>
      </c>
      <c r="C13" s="15" t="s">
        <v>154</v>
      </c>
    </row>
    <row r="14" spans="1:3" x14ac:dyDescent="0.25">
      <c r="A14" s="14">
        <v>11</v>
      </c>
      <c r="B14" s="11" t="str">
        <f>FT_TestCoverageMatrix_GOB!A16</f>
        <v>Storey Peak Card - Config Check</v>
      </c>
      <c r="C14" s="15" t="s">
        <v>154</v>
      </c>
    </row>
    <row r="15" spans="1:3" x14ac:dyDescent="0.25">
      <c r="A15" s="14">
        <v>12</v>
      </c>
      <c r="B15" s="11" t="str">
        <f>FT_TestCoverageMatrix_GOB!A17</f>
        <v>Test Items of CM</v>
      </c>
      <c r="C15" s="15" t="s">
        <v>154</v>
      </c>
    </row>
    <row r="16" spans="1:3" x14ac:dyDescent="0.25">
      <c r="A16" s="14">
        <v>13</v>
      </c>
      <c r="B16" s="11" t="str">
        <f>FT_TestCoverageMatrix_GOB!A18</f>
        <v>Test Items of UBB (BMC_console)  * test items : 37</v>
      </c>
      <c r="C16" s="15" t="s">
        <v>154</v>
      </c>
    </row>
    <row r="17" spans="1:6" x14ac:dyDescent="0.25">
      <c r="A17" s="14">
        <v>14</v>
      </c>
      <c r="B17" s="11" t="str">
        <f>FT_TestCoverageMatrix_GOB!A19</f>
        <v>Test Items of FIO * test items : 7</v>
      </c>
      <c r="C17" s="15" t="s">
        <v>154</v>
      </c>
    </row>
    <row r="18" spans="1:6" x14ac:dyDescent="0.25">
      <c r="A18" s="14">
        <v>15</v>
      </c>
      <c r="B18" s="11" t="str">
        <f>FT_TestCoverageMatrix_GOB!A20</f>
        <v>Test Items of PDB * test items : 26</v>
      </c>
      <c r="C18" s="15" t="s">
        <v>91</v>
      </c>
    </row>
    <row r="19" spans="1:6" x14ac:dyDescent="0.25">
      <c r="A19" s="14">
        <v>16</v>
      </c>
      <c r="B19" s="11" t="str">
        <f>FT_TestCoverageMatrix_GOB!A21</f>
        <v>L10 FRU Flash</v>
      </c>
      <c r="C19" s="15" t="s">
        <v>91</v>
      </c>
      <c r="F19" s="2">
        <v>70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FT_TestCoverageMatrix_UBB</vt:lpstr>
      <vt:lpstr>TestCoverage%_UBB</vt:lpstr>
      <vt:lpstr>FT_TestCoverageMatrix_PDB</vt:lpstr>
      <vt:lpstr>TestCoverage%_PDB</vt:lpstr>
      <vt:lpstr>FT_TestCoverageMatrix_FIO</vt:lpstr>
      <vt:lpstr>TestCoverage%_FIO</vt:lpstr>
      <vt:lpstr>FT_TestCoverageMatrix_CM</vt:lpstr>
      <vt:lpstr>TestCoverage%_CM</vt:lpstr>
      <vt:lpstr>FT_TestCoverageMatrix_GOB</vt:lpstr>
      <vt:lpstr>TestCoverage%_GOB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Hsu</dc:creator>
  <cp:lastModifiedBy>JyunDeWu</cp:lastModifiedBy>
  <dcterms:created xsi:type="dcterms:W3CDTF">2017-09-13T09:22:10Z</dcterms:created>
  <dcterms:modified xsi:type="dcterms:W3CDTF">2018-07-17T06:20:51Z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a-sahsu@microsoft.com</vt:lpwstr>
  </property>
  <property fmtid="{D5CDD505-2E9C-101B-9397-08002B2CF9AE}" pid="6" name="MSIP_Label_f42aa342-8706-4288-bd11-ebb85995028c_SetDate">
    <vt:lpwstr>2017-09-13T17:22:17.2047603+08:00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